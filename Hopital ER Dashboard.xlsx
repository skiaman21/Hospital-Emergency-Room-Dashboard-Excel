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ta Analysis\EXCEL\"/>
    </mc:Choice>
  </mc:AlternateContent>
  <xr:revisionPtr revIDLastSave="0" documentId="13_ncr:1_{AB2BFC40-29FC-430A-8258-B16EC8E24231}" xr6:coauthVersionLast="47" xr6:coauthVersionMax="47" xr10:uidLastSave="{00000000-0000-0000-0000-000000000000}"/>
  <bookViews>
    <workbookView xWindow="-120" yWindow="-120" windowWidth="20730" windowHeight="11160" activeTab="1" xr2:uid="{3C1AA796-DC2C-4860-9BF4-29F0F4F1E2A7}"/>
  </bookViews>
  <sheets>
    <sheet name="Pivot Report" sheetId="1" r:id="rId1"/>
    <sheet name="Dashboard" sheetId="2" r:id="rId2"/>
    <sheet name="Daily ER Tred"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2266" r:id="rId6"/>
    <pivotCache cacheId="2269" r:id="rId7"/>
    <pivotCache cacheId="2272" r:id="rId8"/>
    <pivotCache cacheId="2275" r:id="rId9"/>
    <pivotCache cacheId="2278" r:id="rId10"/>
    <pivotCache cacheId="2281" r:id="rId11"/>
    <pivotCache cacheId="2284" r:id="rId12"/>
    <pivotCache cacheId="2287" r:id="rId13"/>
    <pivotCache cacheId="2290" r:id="rId14"/>
    <pivotCache cacheId="2293" r:id="rId15"/>
    <pivotCache cacheId="2296" r:id="rId16"/>
    <pivotCache cacheId="2299" r:id="rId17"/>
  </pivotCaches>
  <extLst>
    <ext xmlns:x14="http://schemas.microsoft.com/office/spreadsheetml/2009/9/main" uri="{876F7934-8845-4945-9796-88D515C7AA90}">
      <x14:pivotCaches>
        <pivotCache cacheId="113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d2d0008-0b4d-49e8-99a8-800c922062f4" name="Hospital Emergency Room Data" connection="Query - Hospital Emergency Room Data"/>
          <x15:modelTable id="Calender_a2913ec2-3563-4e80-9396-816f36c98c23"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8" i="1" l="1"/>
  <c r="B48" i="1"/>
  <c r="C48" i="1"/>
  <c r="A49" i="1"/>
  <c r="B49" i="1"/>
  <c r="C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CA517D-3D4C-4E5E-8F8C-D05382D7DDAD}" name="Query - Calender" description="Connection to the 'Calender' query in the workbook." type="100" refreshedVersion="7" minRefreshableVersion="5">
    <extLst>
      <ext xmlns:x15="http://schemas.microsoft.com/office/spreadsheetml/2010/11/main" uri="{DE250136-89BD-433C-8126-D09CA5730AF9}">
        <x15:connection id="d592a939-cce0-4f67-b165-a6aa817303c8"/>
      </ext>
    </extLst>
  </connection>
  <connection id="2" xr16:uid="{07749133-9218-4E9F-A87C-BE0145B85B3B}"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429e8b40-8b56-4b74-a487-f98369d0ad61"/>
      </ext>
    </extLst>
  </connection>
  <connection id="3" xr16:uid="{61BCE9EB-33B1-4D4D-802C-7F60E1A067A2}"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<sst xmlns="http://schemas.openxmlformats.org/spreadsheetml/2006/main" count="153" uniqueCount="71">
  <si>
    <t>Distinct Count of Patient Id</t>
  </si>
  <si>
    <t>Average of Patient Waittime</t>
  </si>
  <si>
    <t>Average of Patient Satisfaction Score</t>
  </si>
  <si>
    <t>Grand Total</t>
  </si>
  <si>
    <t>Row Labels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</si>
  <si>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</si>
  <si>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</si>
  <si>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</si>
  <si>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</si>
  <si>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</si>
  <si>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</si>
  <si>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</si>
  <si>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</si>
  <si>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</si>
  <si>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</si>
  <si>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</si>
  <si>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</si>
  <si>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</si>
  <si>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</si>
  <si>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</si>
  <si>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</si>
  <si>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</si>
  <si>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</si>
  <si>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</si>
  <si>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</si>
  <si>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</si>
  <si>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</si>
  <si>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</si>
  <si>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</si>
  <si>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</si>
  <si>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</si>
  <si>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</si>
  <si>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</si>
  <si>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</si>
  <si>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</si>
  <si>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</si>
  <si>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Average Wait time</t>
  </si>
  <si>
    <t>daily trends no of patiet</t>
  </si>
  <si>
    <t>Admitted</t>
  </si>
  <si>
    <t>Not Admitted</t>
  </si>
  <si>
    <t>Count of Patient Attend Status</t>
  </si>
  <si>
    <t>Count of Patient Attend Status2</t>
  </si>
  <si>
    <t>Admission Status</t>
  </si>
  <si>
    <t>% Status</t>
  </si>
  <si>
    <t>No. of  Patients</t>
  </si>
  <si>
    <t>10-09</t>
  </si>
  <si>
    <t>20-29</t>
  </si>
  <si>
    <t>30-39</t>
  </si>
  <si>
    <t>40-49</t>
  </si>
  <si>
    <t>50-59</t>
  </si>
  <si>
    <t>60-69</t>
  </si>
  <si>
    <t>70-79</t>
  </si>
  <si>
    <t>Count of Age Group</t>
  </si>
  <si>
    <t>Age Group By Patient</t>
  </si>
  <si>
    <t>Delay</t>
  </si>
  <si>
    <t>On Time</t>
  </si>
  <si>
    <t>Female</t>
  </si>
  <si>
    <t>Male</t>
  </si>
  <si>
    <t>Count of Patient Gender</t>
  </si>
  <si>
    <t>Patient By Gender</t>
  </si>
  <si>
    <t>Cardiology</t>
  </si>
  <si>
    <t>Gastroenterology</t>
  </si>
  <si>
    <t>General Practice</t>
  </si>
  <si>
    <t>Neurology</t>
  </si>
  <si>
    <t>None</t>
  </si>
  <si>
    <t>Orthopedics</t>
  </si>
  <si>
    <t>Physiotherapy</t>
  </si>
  <si>
    <t>Renal</t>
  </si>
  <si>
    <t>Department Referal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</si>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</sst>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8"/>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cellXfs>
  <cellStyles count="2">
    <cellStyle name="Normal" xfId="0" builtinId="0"/>
    <cellStyle name="Percent" xfId="1" builtinId="5"/>
  </cellStyles>
  <dxfs count="648">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sz val="9"/>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3" xr9:uid="{062044AD-E544-443A-9BA4-E690041C3A33}">
      <tableStyleElement type="wholeTable" dxfId="647"/>
    </tableStyle>
  </tableStyles>
  <extLst>
    <ext xmlns:x14="http://schemas.microsoft.com/office/spreadsheetml/2009/9/main" uri="{46F421CA-312F-682f-3DD2-61675219B42D}">
      <x14:dxfs count="2">
        <dxf>
          <fill>
            <patternFill>
              <bgColor theme="5"/>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my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E337E700-9E4A-4C83-B937-F93975E49FEA}" type="CELLRANGE">
                  <a:rPr lang="en-US" sz="800"/>
                  <a:pPr>
                    <a:defRPr sz="1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E590401D-1152-4E3A-9874-45F63BFC648D}" type="CELLRANGE">
                  <a:rPr lang="en-US" sz="800"/>
                  <a:pPr>
                    <a:defRPr sz="1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0"/>
            </c:ext>
          </c:extLst>
        </c:dLbl>
      </c:pivotFmt>
    </c:pivotFmts>
    <c:plotArea>
      <c:layout>
        <c:manualLayout>
          <c:layoutTarget val="inner"/>
          <c:xMode val="edge"/>
          <c:yMode val="edge"/>
          <c:x val="2.3230942286060395E-2"/>
          <c:y val="0"/>
          <c:w val="0.89618297712785899"/>
          <c:h val="1"/>
        </c:manualLayout>
      </c:layout>
      <c:barChart>
        <c:barDir val="bar"/>
        <c:grouping val="clustered"/>
        <c:varyColors val="0"/>
        <c:ser>
          <c:idx val="0"/>
          <c:order val="0"/>
          <c:tx>
            <c:strRef>
              <c:f>'Pivot Report'!$C$42:$C$43</c:f>
              <c:strCache>
                <c:ptCount val="1"/>
                <c:pt idx="0">
                  <c:v>Count of Patient Attend Status</c:v>
                </c:pt>
              </c:strCache>
            </c:strRef>
          </c:tx>
          <c:spPr>
            <a:solidFill>
              <a:schemeClr val="accent1"/>
            </a:solidFill>
            <a:ln>
              <a:noFill/>
            </a:ln>
            <a:effectLst/>
          </c:spPr>
          <c:invertIfNegative val="0"/>
          <c:cat>
            <c:strRef>
              <c:f>'Pivot Report'!$C$42:$C$43</c:f>
              <c:strCache>
                <c:ptCount val="2"/>
                <c:pt idx="0">
                  <c:v>Admitted</c:v>
                </c:pt>
                <c:pt idx="1">
                  <c:v>Not Admitted</c:v>
                </c:pt>
              </c:strCache>
            </c:strRef>
          </c:cat>
          <c:val>
            <c:numRef>
              <c:f>'Pivot Report'!$C$42:$C$43</c:f>
              <c:numCache>
                <c:formatCode>0</c:formatCode>
                <c:ptCount val="2"/>
                <c:pt idx="0">
                  <c:v>266</c:v>
                </c:pt>
                <c:pt idx="1">
                  <c:v>253</c:v>
                </c:pt>
              </c:numCache>
            </c:numRef>
          </c:val>
          <c:extLst>
            <c:ext xmlns:c16="http://schemas.microsoft.com/office/drawing/2014/chart" uri="{C3380CC4-5D6E-409C-BE32-E72D297353CC}">
              <c16:uniqueId val="{00000007-C4B3-4B67-BA6F-DCBA1C1F3E03}"/>
            </c:ext>
          </c:extLst>
        </c:ser>
        <c:ser>
          <c:idx val="1"/>
          <c:order val="1"/>
          <c:tx>
            <c:strRef>
              <c:f>'Pivot Report'!$C$42:$C$43</c:f>
              <c:strCache>
                <c:ptCount val="1"/>
                <c:pt idx="0">
                  <c:v>Count of Patient Attend Status2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0.51252408477842004</c:v>
                </c:pt>
                <c:pt idx="1">
                  <c:v>0.48747591522157996</c:v>
                </c:pt>
              </c:numCache>
            </c:numRef>
          </c:val>
          <c:extLst>
            <c:ext xmlns:c16="http://schemas.microsoft.com/office/drawing/2014/chart" uri="{C3380CC4-5D6E-409C-BE32-E72D297353CC}">
              <c16:uniqueId val="{00000008-C4B3-4B67-BA6F-DCBA1C1F3E03}"/>
            </c:ext>
          </c:extLst>
        </c:ser>
        <c:dLbls>
          <c:showLegendKey val="0"/>
          <c:showVal val="0"/>
          <c:showCatName val="0"/>
          <c:showSerName val="0"/>
          <c:showPercent val="0"/>
          <c:showBubbleSize val="0"/>
        </c:dLbls>
        <c:gapWidth val="0"/>
        <c:axId val="1595138112"/>
        <c:axId val="1595120224"/>
      </c:barChart>
      <c:catAx>
        <c:axId val="1595138112"/>
        <c:scaling>
          <c:orientation val="minMax"/>
        </c:scaling>
        <c:delete val="1"/>
        <c:axPos val="l"/>
        <c:numFmt formatCode="General" sourceLinked="1"/>
        <c:majorTickMark val="none"/>
        <c:minorTickMark val="none"/>
        <c:tickLblPos val="nextTo"/>
        <c:crossAx val="1595120224"/>
        <c:crosses val="autoZero"/>
        <c:auto val="1"/>
        <c:lblAlgn val="ctr"/>
        <c:lblOffset val="100"/>
        <c:noMultiLvlLbl val="0"/>
      </c:catAx>
      <c:valAx>
        <c:axId val="1595120224"/>
        <c:scaling>
          <c:orientation val="minMax"/>
        </c:scaling>
        <c:delete val="1"/>
        <c:axPos val="b"/>
        <c:numFmt formatCode="0" sourceLinked="1"/>
        <c:majorTickMark val="none"/>
        <c:minorTickMark val="none"/>
        <c:tickLblPos val="nextTo"/>
        <c:crossAx val="159513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Report!PivotTable4</c:name>
    <c:fmtId val="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1404906407440631E-3"/>
          <c:y val="2.210039705798104E-3"/>
          <c:w val="0.97313110118857249"/>
          <c:h val="0.97263421166741337"/>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3-DD7E-4E50-8079-BC09B4245FC3}"/>
            </c:ext>
          </c:extLst>
        </c:ser>
        <c:dLbls>
          <c:showLegendKey val="0"/>
          <c:showVal val="0"/>
          <c:showCatName val="0"/>
          <c:showSerName val="0"/>
          <c:showPercent val="0"/>
          <c:showBubbleSize val="0"/>
        </c:dLbls>
        <c:axId val="2028099024"/>
        <c:axId val="2028081552"/>
      </c:areaChart>
      <c:catAx>
        <c:axId val="2028099024"/>
        <c:scaling>
          <c:orientation val="minMax"/>
        </c:scaling>
        <c:delete val="1"/>
        <c:axPos val="b"/>
        <c:numFmt formatCode="General" sourceLinked="1"/>
        <c:majorTickMark val="out"/>
        <c:minorTickMark val="none"/>
        <c:tickLblPos val="nextTo"/>
        <c:crossAx val="2028081552"/>
        <c:crosses val="autoZero"/>
        <c:auto val="1"/>
        <c:lblAlgn val="ctr"/>
        <c:lblOffset val="100"/>
        <c:noMultiLvlLbl val="0"/>
      </c:catAx>
      <c:valAx>
        <c:axId val="2028081552"/>
        <c:scaling>
          <c:orientation val="minMax"/>
        </c:scaling>
        <c:delete val="1"/>
        <c:axPos val="l"/>
        <c:numFmt formatCode="General" sourceLinked="1"/>
        <c:majorTickMark val="none"/>
        <c:minorTickMark val="none"/>
        <c:tickLblPos val="nextTo"/>
        <c:crossAx val="2028099024"/>
        <c:crosses val="autoZero"/>
        <c:crossBetween val="midCat"/>
      </c:valAx>
      <c:spPr>
        <a:noFill/>
        <a:ln>
          <a:noFill/>
        </a:ln>
      </c:spPr>
    </c:plotArea>
    <c:plotVisOnly val="1"/>
    <c:dispBlanksAs val="zero"/>
    <c:showDLblsOverMax val="0"/>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Report!PivotTable5</c:name>
    <c:fmtId val="1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Report'!$L$5:$L$36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9-5F72-401A-957F-945DFC94B7FB}"/>
            </c:ext>
          </c:extLst>
        </c:ser>
        <c:dLbls>
          <c:showLegendKey val="0"/>
          <c:showVal val="0"/>
          <c:showCatName val="0"/>
          <c:showSerName val="0"/>
          <c:showPercent val="0"/>
          <c:showBubbleSize val="0"/>
        </c:dLbls>
        <c:axId val="831488992"/>
        <c:axId val="831488576"/>
      </c:areaChart>
      <c:catAx>
        <c:axId val="831488992"/>
        <c:scaling>
          <c:orientation val="minMax"/>
        </c:scaling>
        <c:delete val="1"/>
        <c:axPos val="b"/>
        <c:numFmt formatCode="General" sourceLinked="1"/>
        <c:majorTickMark val="out"/>
        <c:minorTickMark val="none"/>
        <c:tickLblPos val="nextTo"/>
        <c:crossAx val="831488576"/>
        <c:crosses val="autoZero"/>
        <c:auto val="1"/>
        <c:lblAlgn val="ctr"/>
        <c:lblOffset val="100"/>
        <c:noMultiLvlLbl val="0"/>
      </c:catAx>
      <c:valAx>
        <c:axId val="83148857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314889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Report'!$P$5:$P$36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35FF-49A9-8BE4-4E62D2A46A31}"/>
            </c:ext>
          </c:extLst>
        </c:ser>
        <c:dLbls>
          <c:showLegendKey val="0"/>
          <c:showVal val="0"/>
          <c:showCatName val="0"/>
          <c:showSerName val="0"/>
          <c:showPercent val="0"/>
          <c:showBubbleSize val="0"/>
        </c:dLbls>
        <c:axId val="1595125632"/>
        <c:axId val="1595123552"/>
      </c:areaChart>
      <c:catAx>
        <c:axId val="1595125632"/>
        <c:scaling>
          <c:orientation val="minMax"/>
        </c:scaling>
        <c:delete val="1"/>
        <c:axPos val="b"/>
        <c:numFmt formatCode="General" sourceLinked="1"/>
        <c:majorTickMark val="out"/>
        <c:minorTickMark val="none"/>
        <c:tickLblPos val="nextTo"/>
        <c:crossAx val="1595123552"/>
        <c:crosses val="autoZero"/>
        <c:auto val="1"/>
        <c:lblAlgn val="ctr"/>
        <c:lblOffset val="100"/>
        <c:noMultiLvlLbl val="0"/>
      </c:catAx>
      <c:valAx>
        <c:axId val="159512355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951256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75264110302703E-2"/>
          <c:y val="8.513879092306019E-2"/>
          <c:w val="0.98622473588969728"/>
          <c:h val="0.71870190421121993"/>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cat>
            <c:strRef>
              <c:f>'Pivot Report'!$A$55:$A$62</c:f>
              <c:strCache>
                <c:ptCount val="7"/>
                <c:pt idx="0">
                  <c:v>10-09</c:v>
                </c:pt>
                <c:pt idx="1">
                  <c:v>20-29</c:v>
                </c:pt>
                <c:pt idx="2">
                  <c:v>30-39</c:v>
                </c:pt>
                <c:pt idx="3">
                  <c:v>40-49</c:v>
                </c:pt>
                <c:pt idx="4">
                  <c:v>50-59</c:v>
                </c:pt>
                <c:pt idx="5">
                  <c:v>60-69</c:v>
                </c:pt>
                <c:pt idx="6">
                  <c:v>70-79</c:v>
                </c:pt>
              </c:strCache>
            </c:strRef>
          </c:cat>
          <c:val>
            <c:numRef>
              <c:f>'Pivot Report'!$B$55:$B$62</c:f>
              <c:numCache>
                <c:formatCode>0</c:formatCode>
                <c:ptCount val="7"/>
                <c:pt idx="0">
                  <c:v>137</c:v>
                </c:pt>
                <c:pt idx="1">
                  <c:v>74</c:v>
                </c:pt>
                <c:pt idx="2">
                  <c:v>71</c:v>
                </c:pt>
                <c:pt idx="3">
                  <c:v>58</c:v>
                </c:pt>
                <c:pt idx="4">
                  <c:v>68</c:v>
                </c:pt>
                <c:pt idx="5">
                  <c:v>62</c:v>
                </c:pt>
                <c:pt idx="6">
                  <c:v>49</c:v>
                </c:pt>
              </c:numCache>
            </c:numRef>
          </c:val>
          <c:extLst>
            <c:ext xmlns:c16="http://schemas.microsoft.com/office/drawing/2014/chart" uri="{C3380CC4-5D6E-409C-BE32-E72D297353CC}">
              <c16:uniqueId val="{00000003-AC3F-4CF4-AABF-005F102DC237}"/>
            </c:ext>
          </c:extLst>
        </c:ser>
        <c:dLbls>
          <c:showLegendKey val="0"/>
          <c:showVal val="0"/>
          <c:showCatName val="0"/>
          <c:showSerName val="0"/>
          <c:showPercent val="0"/>
          <c:showBubbleSize val="0"/>
        </c:dLbls>
        <c:gapWidth val="219"/>
        <c:overlap val="-27"/>
        <c:axId val="62930160"/>
        <c:axId val="62930576"/>
      </c:barChart>
      <c:catAx>
        <c:axId val="6293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2930576"/>
        <c:crosses val="autoZero"/>
        <c:auto val="1"/>
        <c:lblAlgn val="ctr"/>
        <c:lblOffset val="100"/>
        <c:noMultiLvlLbl val="0"/>
      </c:catAx>
      <c:valAx>
        <c:axId val="62930576"/>
        <c:scaling>
          <c:orientation val="minMax"/>
        </c:scaling>
        <c:delete val="1"/>
        <c:axPos val="l"/>
        <c:numFmt formatCode="0" sourceLinked="1"/>
        <c:majorTickMark val="none"/>
        <c:minorTickMark val="none"/>
        <c:tickLblPos val="nextTo"/>
        <c:crossAx val="6293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22972774614104091"/>
              <c:y val="-7.17375165423969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dLbl>
          <c:idx val="0"/>
          <c:layout>
            <c:manualLayout>
              <c:x val="0.26150348448910288"/>
              <c:y val="5.9680791073086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4488502353573055"/>
                  <c:h val="0.27694298403006012"/>
                </c:manualLayout>
              </c15:layout>
            </c:ext>
          </c:extLst>
        </c:dLbl>
      </c:pivotFmt>
    </c:pivotFmts>
    <c:plotArea>
      <c:layout>
        <c:manualLayout>
          <c:layoutTarget val="inner"/>
          <c:xMode val="edge"/>
          <c:yMode val="edge"/>
          <c:x val="0.20628959457160304"/>
          <c:y val="0.18206984546505733"/>
          <c:w val="0.59746394579609496"/>
          <c:h val="0.70251123820282912"/>
        </c:manualLayout>
      </c:layout>
      <c:pieChart>
        <c:varyColors val="1"/>
        <c:ser>
          <c:idx val="0"/>
          <c:order val="0"/>
          <c:tx>
            <c:strRef>
              <c:f>'Pivot Report'!$B$71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layout>
                <c:manualLayout>
                  <c:x val="-0.22972774614104091"/>
                  <c:y val="-7.1737516542396948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26150348448910288"/>
                  <c:y val="5.9680791073086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4488502353573055"/>
                      <c:h val="0.2769429840300601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 Time</c:v>
                </c:pt>
              </c:strCache>
            </c:strRef>
          </c:cat>
          <c:val>
            <c:numRef>
              <c:f>'Pivot Report'!$B$72:$B$74</c:f>
              <c:numCache>
                <c:formatCode>0</c:formatCode>
                <c:ptCount val="2"/>
                <c:pt idx="0">
                  <c:v>324</c:v>
                </c:pt>
                <c:pt idx="1">
                  <c:v>195</c:v>
                </c:pt>
              </c:numCache>
            </c:numRef>
          </c:val>
          <c:extLst>
            <c:ext xmlns:c16="http://schemas.microsoft.com/office/drawing/2014/chart" uri="{C3380CC4-5D6E-409C-BE32-E72D297353CC}">
              <c16:uniqueId val="{00000009-841E-41C1-A41F-888E90822E7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437691196535862E-3"/>
          <c:y val="1.2389394971627185E-2"/>
          <c:w val="0.97066707366300031"/>
          <c:h val="0.12597040741813495"/>
        </c:manualLayout>
      </c:layout>
      <c:overlay val="0"/>
      <c:spPr>
        <a:solidFill>
          <a:schemeClr val="lt1">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397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7624718586257046"/>
          <c:y val="0.19585550779192024"/>
          <c:w val="0.69942023788177632"/>
          <c:h val="0.80414449220807982"/>
        </c:manualLayout>
      </c:layout>
      <c:doughnutChart>
        <c:varyColors val="1"/>
        <c:ser>
          <c:idx val="0"/>
          <c:order val="0"/>
          <c:tx>
            <c:strRef>
              <c:f>'Pivot Report'!$B$81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Report'!$A$82:$A$84</c:f>
              <c:strCache>
                <c:ptCount val="2"/>
                <c:pt idx="0">
                  <c:v>Female</c:v>
                </c:pt>
                <c:pt idx="1">
                  <c:v>Male</c:v>
                </c:pt>
              </c:strCache>
            </c:strRef>
          </c:cat>
          <c:val>
            <c:numRef>
              <c:f>'Pivot Report'!$B$82:$B$84</c:f>
              <c:numCache>
                <c:formatCode>0</c:formatCode>
                <c:ptCount val="2"/>
                <c:pt idx="0">
                  <c:v>254</c:v>
                </c:pt>
                <c:pt idx="1">
                  <c:v>265</c:v>
                </c:pt>
              </c:numCache>
            </c:numRef>
          </c:val>
          <c:extLst>
            <c:ext xmlns:c16="http://schemas.microsoft.com/office/drawing/2014/chart" uri="{C3380CC4-5D6E-409C-BE32-E72D297353CC}">
              <c16:uniqueId val="{00000007-3714-4D4C-AD52-D1EA1FF88FD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12394870550936318"/>
          <c:y val="2.6487553765174091E-2"/>
          <c:w val="0.80176181426330528"/>
          <c:h val="0.16971587563124615"/>
        </c:manualLayout>
      </c:layout>
      <c:overlay val="0"/>
      <c:spPr>
        <a:solidFill>
          <a:schemeClr val="lt1">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Report!PivotTable13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2358316321571"/>
          <c:y val="3.3663369835853524E-2"/>
          <c:w val="0.73572703412073492"/>
          <c:h val="0.84539235938695545"/>
        </c:manualLayout>
      </c:layout>
      <c:barChart>
        <c:barDir val="bar"/>
        <c:grouping val="clustered"/>
        <c:varyColors val="0"/>
        <c:ser>
          <c:idx val="0"/>
          <c:order val="0"/>
          <c:tx>
            <c:strRef>
              <c:f>'Pivot Report'!$B$91</c:f>
              <c:strCache>
                <c:ptCount val="1"/>
                <c:pt idx="0">
                  <c:v>Total</c:v>
                </c:pt>
              </c:strCache>
            </c:strRef>
          </c:tx>
          <c:spPr>
            <a:solidFill>
              <a:schemeClr val="accent1"/>
            </a:solidFill>
            <a:ln>
              <a:noFill/>
            </a:ln>
            <a:effectLst/>
          </c:spPr>
          <c:invertIfNegative val="0"/>
          <c:cat>
            <c:strRef>
              <c:f>'Pivot Report'!$A$92:$A$100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Report'!$B$92:$B$100</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3-81C4-4FF6-9323-4B3942763911}"/>
            </c:ext>
          </c:extLst>
        </c:ser>
        <c:dLbls>
          <c:showLegendKey val="0"/>
          <c:showVal val="0"/>
          <c:showCatName val="0"/>
          <c:showSerName val="0"/>
          <c:showPercent val="0"/>
          <c:showBubbleSize val="0"/>
        </c:dLbls>
        <c:gapWidth val="22"/>
        <c:axId val="1595121888"/>
        <c:axId val="1595125216"/>
      </c:barChart>
      <c:catAx>
        <c:axId val="15951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1595125216"/>
        <c:crosses val="autoZero"/>
        <c:auto val="1"/>
        <c:lblAlgn val="ctr"/>
        <c:lblOffset val="100"/>
        <c:noMultiLvlLbl val="0"/>
      </c:catAx>
      <c:valAx>
        <c:axId val="1595125216"/>
        <c:scaling>
          <c:orientation val="minMax"/>
        </c:scaling>
        <c:delete val="1"/>
        <c:axPos val="b"/>
        <c:numFmt formatCode="0" sourceLinked="1"/>
        <c:majorTickMark val="none"/>
        <c:minorTickMark val="none"/>
        <c:tickLblPos val="nextTo"/>
        <c:crossAx val="159512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73622234988864E-2"/>
          <c:y val="6.1479418731195189E-2"/>
          <c:w val="0.96268023748939779"/>
          <c:h val="0.76984872808511751"/>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Report'!$G$5:$G$36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3-5921-4172-AF00-8F06BAF526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28099024"/>
        <c:axId val="2028081552"/>
      </c:areaChart>
      <c:catAx>
        <c:axId val="20280990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28081552"/>
        <c:crosses val="autoZero"/>
        <c:auto val="1"/>
        <c:lblAlgn val="ctr"/>
        <c:lblOffset val="100"/>
        <c:noMultiLvlLbl val="0"/>
      </c:catAx>
      <c:valAx>
        <c:axId val="2028081552"/>
        <c:scaling>
          <c:orientation val="minMax"/>
        </c:scaling>
        <c:delete val="1"/>
        <c:axPos val="l"/>
        <c:numFmt formatCode="General" sourceLinked="1"/>
        <c:majorTickMark val="out"/>
        <c:minorTickMark val="none"/>
        <c:tickLblPos val="nextTo"/>
        <c:crossAx val="2028099024"/>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200492004920051E-3"/>
          <c:y val="3.968253968253968E-3"/>
          <c:w val="0.99507995079950795"/>
          <c:h val="0.99603174603174605"/>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Report'!$L$5:$L$36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3-B80C-4656-98BB-038841A5244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1488992"/>
        <c:axId val="831488576"/>
      </c:areaChart>
      <c:catAx>
        <c:axId val="8314889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831488576"/>
        <c:crosses val="autoZero"/>
        <c:auto val="1"/>
        <c:lblAlgn val="ctr"/>
        <c:lblOffset val="100"/>
        <c:noMultiLvlLbl val="0"/>
      </c:catAx>
      <c:valAx>
        <c:axId val="831488576"/>
        <c:scaling>
          <c:orientation val="minMax"/>
        </c:scaling>
        <c:delete val="1"/>
        <c:axPos val="l"/>
        <c:numFmt formatCode="0.00" sourceLinked="1"/>
        <c:majorTickMark val="out"/>
        <c:minorTickMark val="none"/>
        <c:tickLblPos val="nextTo"/>
        <c:crossAx val="8314889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[Hopital ER Dashboard.xlsx]Pivot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Report'!$P$5:$P$36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D5F7-4E5C-9424-E4909615A34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95125632"/>
        <c:axId val="1595123552"/>
      </c:areaChart>
      <c:catAx>
        <c:axId val="15951256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5123552"/>
        <c:crosses val="autoZero"/>
        <c:auto val="1"/>
        <c:lblAlgn val="ctr"/>
        <c:lblOffset val="100"/>
        <c:noMultiLvlLbl val="0"/>
      </c:catAx>
      <c:valAx>
        <c:axId val="1595123552"/>
        <c:scaling>
          <c:orientation val="minMax"/>
        </c:scaling>
        <c:delete val="1"/>
        <c:axPos val="l"/>
        <c:numFmt formatCode="0.00" sourceLinked="1"/>
        <c:majorTickMark val="out"/>
        <c:minorTickMark val="none"/>
        <c:tickLblPos val="nextTo"/>
        <c:crossAx val="15951256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ER Tred'!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66675</xdr:colOff>
      <xdr:row>46</xdr:row>
      <xdr:rowOff>152400</xdr:rowOff>
    </xdr:from>
    <xdr:to>
      <xdr:col>3</xdr:col>
      <xdr:colOff>2047875</xdr:colOff>
      <xdr:row>48</xdr:row>
      <xdr:rowOff>152400</xdr:rowOff>
    </xdr:to>
    <xdr:graphicFrame macro="">
      <xdr:nvGraphicFramePr>
        <xdr:cNvPr id="4" name="Chart 3">
          <a:extLst>
            <a:ext uri="{FF2B5EF4-FFF2-40B4-BE49-F238E27FC236}">
              <a16:creationId xmlns:a16="http://schemas.microsoft.com/office/drawing/2014/main" id="{D0C0567D-36A0-4B50-A98E-547DA7E7E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196103</xdr:colOff>
      <xdr:row>0</xdr:row>
      <xdr:rowOff>44822</xdr:rowOff>
    </xdr:from>
    <xdr:to>
      <xdr:col>9</xdr:col>
      <xdr:colOff>246529</xdr:colOff>
      <xdr:row>6</xdr:row>
      <xdr:rowOff>22411</xdr:rowOff>
    </xdr:to>
    <xdr:sp macro="" textlink="">
      <xdr:nvSpPr>
        <xdr:cNvPr id="4" name="Rectangle: Rounded Corners 3">
          <a:extLst>
            <a:ext uri="{FF2B5EF4-FFF2-40B4-BE49-F238E27FC236}">
              <a16:creationId xmlns:a16="http://schemas.microsoft.com/office/drawing/2014/main" id="{58803293-DD49-4B49-A592-48EB89E7A4F1}"/>
            </a:ext>
          </a:extLst>
        </xdr:cNvPr>
        <xdr:cNvSpPr/>
      </xdr:nvSpPr>
      <xdr:spPr>
        <a:xfrm>
          <a:off x="4471147" y="44822"/>
          <a:ext cx="1271867" cy="1120589"/>
        </a:xfrm>
        <a:prstGeom prst="roundRect">
          <a:avLst>
            <a:gd name="adj" fmla="val 882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34098</xdr:colOff>
      <xdr:row>2</xdr:row>
      <xdr:rowOff>134790</xdr:rowOff>
    </xdr:from>
    <xdr:to>
      <xdr:col>1</xdr:col>
      <xdr:colOff>89646</xdr:colOff>
      <xdr:row>12</xdr:row>
      <xdr:rowOff>128867</xdr:rowOff>
    </xdr:to>
    <xdr:sp macro="" textlink="">
      <xdr:nvSpPr>
        <xdr:cNvPr id="6" name="Rectangle: Rounded Corners 5">
          <a:extLst>
            <a:ext uri="{FF2B5EF4-FFF2-40B4-BE49-F238E27FC236}">
              <a16:creationId xmlns:a16="http://schemas.microsoft.com/office/drawing/2014/main" id="{AED51A1F-B7D7-4107-97D9-CE116EF8977D}"/>
            </a:ext>
          </a:extLst>
        </xdr:cNvPr>
        <xdr:cNvSpPr/>
      </xdr:nvSpPr>
      <xdr:spPr>
        <a:xfrm>
          <a:off x="34098" y="515790"/>
          <a:ext cx="666269" cy="1899077"/>
        </a:xfrm>
        <a:prstGeom prst="roundRect">
          <a:avLst>
            <a:gd name="adj" fmla="val 1283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67235</xdr:colOff>
      <xdr:row>12</xdr:row>
      <xdr:rowOff>151279</xdr:rowOff>
    </xdr:from>
    <xdr:to>
      <xdr:col>7</xdr:col>
      <xdr:colOff>425824</xdr:colOff>
      <xdr:row>12</xdr:row>
      <xdr:rowOff>151279</xdr:rowOff>
    </xdr:to>
    <xdr:cxnSp macro="">
      <xdr:nvCxnSpPr>
        <xdr:cNvPr id="13" name="Straight Connector 12">
          <a:extLst>
            <a:ext uri="{FF2B5EF4-FFF2-40B4-BE49-F238E27FC236}">
              <a16:creationId xmlns:a16="http://schemas.microsoft.com/office/drawing/2014/main" id="{34F5B5AD-17BA-4F53-A764-AC18ACA921C3}"/>
            </a:ext>
          </a:extLst>
        </xdr:cNvPr>
        <xdr:cNvCxnSpPr/>
      </xdr:nvCxnSpPr>
      <xdr:spPr>
        <a:xfrm>
          <a:off x="67235" y="2437279"/>
          <a:ext cx="4633633" cy="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134472</xdr:colOff>
      <xdr:row>0</xdr:row>
      <xdr:rowOff>28015</xdr:rowOff>
    </xdr:from>
    <xdr:to>
      <xdr:col>7</xdr:col>
      <xdr:colOff>134472</xdr:colOff>
      <xdr:row>12</xdr:row>
      <xdr:rowOff>179294</xdr:rowOff>
    </xdr:to>
    <xdr:cxnSp macro="">
      <xdr:nvCxnSpPr>
        <xdr:cNvPr id="15" name="Straight Connector 14">
          <a:extLst>
            <a:ext uri="{FF2B5EF4-FFF2-40B4-BE49-F238E27FC236}">
              <a16:creationId xmlns:a16="http://schemas.microsoft.com/office/drawing/2014/main" id="{04BD2D44-0BE2-44CA-8D55-F1F3093A0316}"/>
            </a:ext>
          </a:extLst>
        </xdr:cNvPr>
        <xdr:cNvCxnSpPr/>
      </xdr:nvCxnSpPr>
      <xdr:spPr>
        <a:xfrm>
          <a:off x="4409516" y="28015"/>
          <a:ext cx="0" cy="2437279"/>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420221</xdr:colOff>
      <xdr:row>0</xdr:row>
      <xdr:rowOff>28015</xdr:rowOff>
    </xdr:from>
    <xdr:to>
      <xdr:col>11</xdr:col>
      <xdr:colOff>420221</xdr:colOff>
      <xdr:row>14</xdr:row>
      <xdr:rowOff>162485</xdr:rowOff>
    </xdr:to>
    <xdr:cxnSp macro="">
      <xdr:nvCxnSpPr>
        <xdr:cNvPr id="20" name="Straight Connector 19">
          <a:extLst>
            <a:ext uri="{FF2B5EF4-FFF2-40B4-BE49-F238E27FC236}">
              <a16:creationId xmlns:a16="http://schemas.microsoft.com/office/drawing/2014/main" id="{6836769C-5565-40C5-BADE-14A5F2932F23}"/>
            </a:ext>
          </a:extLst>
        </xdr:cNvPr>
        <xdr:cNvCxnSpPr/>
      </xdr:nvCxnSpPr>
      <xdr:spPr>
        <a:xfrm>
          <a:off x="7138147" y="28015"/>
          <a:ext cx="0" cy="280147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absolute">
    <xdr:from>
      <xdr:col>9</xdr:col>
      <xdr:colOff>308162</xdr:colOff>
      <xdr:row>0</xdr:row>
      <xdr:rowOff>44822</xdr:rowOff>
    </xdr:from>
    <xdr:to>
      <xdr:col>11</xdr:col>
      <xdr:colOff>364193</xdr:colOff>
      <xdr:row>6</xdr:row>
      <xdr:rowOff>22411</xdr:rowOff>
    </xdr:to>
    <xdr:sp macro="" textlink="">
      <xdr:nvSpPr>
        <xdr:cNvPr id="21" name="Rectangle: Rounded Corners 20">
          <a:extLst>
            <a:ext uri="{FF2B5EF4-FFF2-40B4-BE49-F238E27FC236}">
              <a16:creationId xmlns:a16="http://schemas.microsoft.com/office/drawing/2014/main" id="{602F3B73-2352-49D6-B56E-F9C7A40F473B}"/>
            </a:ext>
          </a:extLst>
        </xdr:cNvPr>
        <xdr:cNvSpPr/>
      </xdr:nvSpPr>
      <xdr:spPr>
        <a:xfrm>
          <a:off x="5804647" y="44822"/>
          <a:ext cx="1277472" cy="1120589"/>
        </a:xfrm>
        <a:prstGeom prst="roundRect">
          <a:avLst>
            <a:gd name="adj" fmla="val 882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196103</xdr:colOff>
      <xdr:row>6</xdr:row>
      <xdr:rowOff>72838</xdr:rowOff>
    </xdr:from>
    <xdr:to>
      <xdr:col>11</xdr:col>
      <xdr:colOff>381000</xdr:colOff>
      <xdr:row>12</xdr:row>
      <xdr:rowOff>89647</xdr:rowOff>
    </xdr:to>
    <xdr:sp macro="" textlink="">
      <xdr:nvSpPr>
        <xdr:cNvPr id="22" name="Rectangle: Rounded Corners 21">
          <a:extLst>
            <a:ext uri="{FF2B5EF4-FFF2-40B4-BE49-F238E27FC236}">
              <a16:creationId xmlns:a16="http://schemas.microsoft.com/office/drawing/2014/main" id="{249BA7DB-A335-4E12-B8D0-78AEED0FCD46}"/>
            </a:ext>
          </a:extLst>
        </xdr:cNvPr>
        <xdr:cNvSpPr/>
      </xdr:nvSpPr>
      <xdr:spPr>
        <a:xfrm>
          <a:off x="4471147" y="1215838"/>
          <a:ext cx="2627779" cy="1159809"/>
        </a:xfrm>
        <a:prstGeom prst="roundRect">
          <a:avLst>
            <a:gd name="adj" fmla="val 882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39222</xdr:colOff>
      <xdr:row>0</xdr:row>
      <xdr:rowOff>56349</xdr:rowOff>
    </xdr:from>
    <xdr:to>
      <xdr:col>5</xdr:col>
      <xdr:colOff>128868</xdr:colOff>
      <xdr:row>2</xdr:row>
      <xdr:rowOff>129188</xdr:rowOff>
    </xdr:to>
    <xdr:sp macro="" textlink="">
      <xdr:nvSpPr>
        <xdr:cNvPr id="2" name="Rectangle: Rounded Corners 1">
          <a:extLst>
            <a:ext uri="{FF2B5EF4-FFF2-40B4-BE49-F238E27FC236}">
              <a16:creationId xmlns:a16="http://schemas.microsoft.com/office/drawing/2014/main" id="{72177B10-D15B-4B40-83A4-1081F81B68E6}"/>
            </a:ext>
          </a:extLst>
        </xdr:cNvPr>
        <xdr:cNvSpPr/>
      </xdr:nvSpPr>
      <xdr:spPr>
        <a:xfrm>
          <a:off x="39222" y="56349"/>
          <a:ext cx="3143249" cy="453839"/>
        </a:xfrm>
        <a:prstGeom prst="roundRect">
          <a:avLst>
            <a:gd name="adj" fmla="val 1424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61632</xdr:colOff>
      <xdr:row>0</xdr:row>
      <xdr:rowOff>75881</xdr:rowOff>
    </xdr:from>
    <xdr:to>
      <xdr:col>0</xdr:col>
      <xdr:colOff>605118</xdr:colOff>
      <xdr:row>2</xdr:row>
      <xdr:rowOff>77194</xdr:rowOff>
    </xdr:to>
    <xdr:pic>
      <xdr:nvPicPr>
        <xdr:cNvPr id="8" name="Picture 7">
          <a:extLst>
            <a:ext uri="{FF2B5EF4-FFF2-40B4-BE49-F238E27FC236}">
              <a16:creationId xmlns:a16="http://schemas.microsoft.com/office/drawing/2014/main" id="{464721F7-9491-4536-8B99-57831142579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549" r="11290"/>
        <a:stretch/>
      </xdr:blipFill>
      <xdr:spPr>
        <a:xfrm>
          <a:off x="61632" y="75881"/>
          <a:ext cx="543486" cy="382313"/>
        </a:xfrm>
        <a:prstGeom prst="rect">
          <a:avLst/>
        </a:prstGeom>
      </xdr:spPr>
    </xdr:pic>
    <xdr:clientData/>
  </xdr:twoCellAnchor>
  <xdr:twoCellAnchor>
    <xdr:from>
      <xdr:col>5</xdr:col>
      <xdr:colOff>173691</xdr:colOff>
      <xdr:row>0</xdr:row>
      <xdr:rowOff>50427</xdr:rowOff>
    </xdr:from>
    <xdr:to>
      <xdr:col>7</xdr:col>
      <xdr:colOff>112059</xdr:colOff>
      <xdr:row>2</xdr:row>
      <xdr:rowOff>123266</xdr:rowOff>
    </xdr:to>
    <xdr:sp macro="" textlink="">
      <xdr:nvSpPr>
        <xdr:cNvPr id="3" name="Rectangle: Rounded Corners 2">
          <a:extLst>
            <a:ext uri="{FF2B5EF4-FFF2-40B4-BE49-F238E27FC236}">
              <a16:creationId xmlns:a16="http://schemas.microsoft.com/office/drawing/2014/main" id="{C6F2FE0E-FC2E-481E-9429-9625FBB67989}"/>
            </a:ext>
          </a:extLst>
        </xdr:cNvPr>
        <xdr:cNvSpPr/>
      </xdr:nvSpPr>
      <xdr:spPr>
        <a:xfrm>
          <a:off x="3227294" y="50427"/>
          <a:ext cx="1159809" cy="453839"/>
        </a:xfrm>
        <a:prstGeom prst="roundRect">
          <a:avLst>
            <a:gd name="adj" fmla="val 1389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134947</xdr:colOff>
      <xdr:row>8</xdr:row>
      <xdr:rowOff>128868</xdr:rowOff>
    </xdr:from>
    <xdr:to>
      <xdr:col>7</xdr:col>
      <xdr:colOff>123264</xdr:colOff>
      <xdr:row>12</xdr:row>
      <xdr:rowOff>134470</xdr:rowOff>
    </xdr:to>
    <xdr:sp macro="" textlink="">
      <xdr:nvSpPr>
        <xdr:cNvPr id="11" name="Rectangle: Rounded Corners 10">
          <a:extLst>
            <a:ext uri="{FF2B5EF4-FFF2-40B4-BE49-F238E27FC236}">
              <a16:creationId xmlns:a16="http://schemas.microsoft.com/office/drawing/2014/main" id="{7559A676-7C8D-4F56-B82C-4B4EBB41E67B}"/>
            </a:ext>
          </a:extLst>
        </xdr:cNvPr>
        <xdr:cNvSpPr/>
      </xdr:nvSpPr>
      <xdr:spPr>
        <a:xfrm>
          <a:off x="745668" y="1652868"/>
          <a:ext cx="3652640" cy="767602"/>
        </a:xfrm>
        <a:prstGeom prst="roundRect">
          <a:avLst>
            <a:gd name="adj" fmla="val 1283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179443</xdr:colOff>
      <xdr:row>2</xdr:row>
      <xdr:rowOff>157203</xdr:rowOff>
    </xdr:from>
    <xdr:to>
      <xdr:col>7</xdr:col>
      <xdr:colOff>112058</xdr:colOff>
      <xdr:row>5</xdr:row>
      <xdr:rowOff>179295</xdr:rowOff>
    </xdr:to>
    <xdr:sp macro="" textlink="">
      <xdr:nvSpPr>
        <xdr:cNvPr id="17" name="Rectangle: Rounded Corners 16">
          <a:extLst>
            <a:ext uri="{FF2B5EF4-FFF2-40B4-BE49-F238E27FC236}">
              <a16:creationId xmlns:a16="http://schemas.microsoft.com/office/drawing/2014/main" id="{1B476651-4CAA-4E8A-93B1-2621DD7D87E5}"/>
            </a:ext>
          </a:extLst>
        </xdr:cNvPr>
        <xdr:cNvSpPr/>
      </xdr:nvSpPr>
      <xdr:spPr>
        <a:xfrm>
          <a:off x="3233046" y="538203"/>
          <a:ext cx="1154056" cy="593592"/>
        </a:xfrm>
        <a:prstGeom prst="roundRect">
          <a:avLst>
            <a:gd name="adj" fmla="val 56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1</xdr:col>
      <xdr:colOff>134946</xdr:colOff>
      <xdr:row>6</xdr:row>
      <xdr:rowOff>11206</xdr:rowOff>
    </xdr:from>
    <xdr:to>
      <xdr:col>7</xdr:col>
      <xdr:colOff>123263</xdr:colOff>
      <xdr:row>8</xdr:row>
      <xdr:rowOff>112059</xdr:rowOff>
    </xdr:to>
    <xdr:sp macro="" textlink="">
      <xdr:nvSpPr>
        <xdr:cNvPr id="24" name="Rectangle: Rounded Corners 23">
          <a:extLst>
            <a:ext uri="{FF2B5EF4-FFF2-40B4-BE49-F238E27FC236}">
              <a16:creationId xmlns:a16="http://schemas.microsoft.com/office/drawing/2014/main" id="{A3930C00-9C76-45BF-B30C-67BCBD905C5C}"/>
            </a:ext>
          </a:extLst>
        </xdr:cNvPr>
        <xdr:cNvSpPr/>
      </xdr:nvSpPr>
      <xdr:spPr>
        <a:xfrm>
          <a:off x="745667" y="1154206"/>
          <a:ext cx="3652640" cy="481853"/>
        </a:xfrm>
        <a:prstGeom prst="roundRect">
          <a:avLst>
            <a:gd name="adj" fmla="val 1283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526676</xdr:colOff>
      <xdr:row>0</xdr:row>
      <xdr:rowOff>95248</xdr:rowOff>
    </xdr:from>
    <xdr:to>
      <xdr:col>5</xdr:col>
      <xdr:colOff>61633</xdr:colOff>
      <xdr:row>1</xdr:row>
      <xdr:rowOff>140071</xdr:rowOff>
    </xdr:to>
    <xdr:sp macro="" textlink="">
      <xdr:nvSpPr>
        <xdr:cNvPr id="25" name="TextBox 24">
          <a:extLst>
            <a:ext uri="{FF2B5EF4-FFF2-40B4-BE49-F238E27FC236}">
              <a16:creationId xmlns:a16="http://schemas.microsoft.com/office/drawing/2014/main" id="{F6D0833C-FF3A-48E7-97A7-5C8B127CE52B}"/>
            </a:ext>
          </a:extLst>
        </xdr:cNvPr>
        <xdr:cNvSpPr txBox="1"/>
      </xdr:nvSpPr>
      <xdr:spPr>
        <a:xfrm>
          <a:off x="526676" y="95248"/>
          <a:ext cx="2588560" cy="23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a:t>
          </a:r>
          <a:r>
            <a:rPr lang="en-IN" sz="1100" baseline="0"/>
            <a:t> Room Dashboard</a:t>
          </a:r>
          <a:endParaRPr lang="en-IN" sz="1100"/>
        </a:p>
      </xdr:txBody>
    </xdr:sp>
    <xdr:clientData/>
  </xdr:twoCellAnchor>
  <xdr:twoCellAnchor>
    <xdr:from>
      <xdr:col>2</xdr:col>
      <xdr:colOff>50430</xdr:colOff>
      <xdr:row>1</xdr:row>
      <xdr:rowOff>95250</xdr:rowOff>
    </xdr:from>
    <xdr:to>
      <xdr:col>3</xdr:col>
      <xdr:colOff>481857</xdr:colOff>
      <xdr:row>2</xdr:row>
      <xdr:rowOff>100854</xdr:rowOff>
    </xdr:to>
    <xdr:sp macro="" textlink="">
      <xdr:nvSpPr>
        <xdr:cNvPr id="23" name="TextBox 22">
          <a:extLst>
            <a:ext uri="{FF2B5EF4-FFF2-40B4-BE49-F238E27FC236}">
              <a16:creationId xmlns:a16="http://schemas.microsoft.com/office/drawing/2014/main" id="{957B428A-B33C-4A51-B95C-0E4C936FFF8B}"/>
            </a:ext>
          </a:extLst>
        </xdr:cNvPr>
        <xdr:cNvSpPr txBox="1"/>
      </xdr:nvSpPr>
      <xdr:spPr>
        <a:xfrm>
          <a:off x="1271871" y="285750"/>
          <a:ext cx="1042148" cy="19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 Report</a:t>
          </a:r>
        </a:p>
      </xdr:txBody>
    </xdr:sp>
    <xdr:clientData/>
  </xdr:twoCellAnchor>
  <xdr:twoCellAnchor editAs="oneCell">
    <xdr:from>
      <xdr:col>0</xdr:col>
      <xdr:colOff>44824</xdr:colOff>
      <xdr:row>2</xdr:row>
      <xdr:rowOff>162485</xdr:rowOff>
    </xdr:from>
    <xdr:to>
      <xdr:col>1</xdr:col>
      <xdr:colOff>78440</xdr:colOff>
      <xdr:row>12</xdr:row>
      <xdr:rowOff>112059</xdr:rowOff>
    </xdr:to>
    <mc:AlternateContent xmlns:mc="http://schemas.openxmlformats.org/markup-compatibility/2006" xmlns:a14="http://schemas.microsoft.com/office/drawing/2010/main">
      <mc:Choice Requires="a14">
        <xdr:graphicFrame macro="">
          <xdr:nvGraphicFramePr>
            <xdr:cNvPr id="36" name="Date (Month)">
              <a:extLst>
                <a:ext uri="{FF2B5EF4-FFF2-40B4-BE49-F238E27FC236}">
                  <a16:creationId xmlns:a16="http://schemas.microsoft.com/office/drawing/2014/main" id="{772C95D6-6564-4B43-88A7-4EFE5772FB4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4824" y="543485"/>
              <a:ext cx="644337" cy="1854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151756</xdr:colOff>
      <xdr:row>2</xdr:row>
      <xdr:rowOff>155658</xdr:rowOff>
    </xdr:from>
    <xdr:to>
      <xdr:col>3</xdr:col>
      <xdr:colOff>117659</xdr:colOff>
      <xdr:row>6</xdr:row>
      <xdr:rowOff>0</xdr:rowOff>
    </xdr:to>
    <xdr:sp macro="" textlink="">
      <xdr:nvSpPr>
        <xdr:cNvPr id="7" name="Rectangle: Rounded Corners 6">
          <a:extLst>
            <a:ext uri="{FF2B5EF4-FFF2-40B4-BE49-F238E27FC236}">
              <a16:creationId xmlns:a16="http://schemas.microsoft.com/office/drawing/2014/main" id="{57FD723A-4D40-432E-8726-C18B69AE338C}"/>
            </a:ext>
          </a:extLst>
        </xdr:cNvPr>
        <xdr:cNvSpPr/>
      </xdr:nvSpPr>
      <xdr:spPr>
        <a:xfrm>
          <a:off x="762477" y="536658"/>
          <a:ext cx="1187344" cy="606342"/>
        </a:xfrm>
        <a:prstGeom prst="roundRect">
          <a:avLst>
            <a:gd name="adj" fmla="val 462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3</xdr:col>
      <xdr:colOff>165600</xdr:colOff>
      <xdr:row>2</xdr:row>
      <xdr:rowOff>155658</xdr:rowOff>
    </xdr:from>
    <xdr:to>
      <xdr:col>5</xdr:col>
      <xdr:colOff>98215</xdr:colOff>
      <xdr:row>6</xdr:row>
      <xdr:rowOff>0</xdr:rowOff>
    </xdr:to>
    <xdr:sp macro="" textlink="">
      <xdr:nvSpPr>
        <xdr:cNvPr id="16" name="Rectangle: Rounded Corners 15">
          <a:extLst>
            <a:ext uri="{FF2B5EF4-FFF2-40B4-BE49-F238E27FC236}">
              <a16:creationId xmlns:a16="http://schemas.microsoft.com/office/drawing/2014/main" id="{B970BF17-AA4A-466C-80A8-FA491F8B397A}"/>
            </a:ext>
          </a:extLst>
        </xdr:cNvPr>
        <xdr:cNvSpPr/>
      </xdr:nvSpPr>
      <xdr:spPr>
        <a:xfrm>
          <a:off x="1997762" y="536658"/>
          <a:ext cx="1154056" cy="606342"/>
        </a:xfrm>
        <a:prstGeom prst="roundRect">
          <a:avLst>
            <a:gd name="adj" fmla="val 554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1</xdr:col>
      <xdr:colOff>134472</xdr:colOff>
      <xdr:row>2</xdr:row>
      <xdr:rowOff>185953</xdr:rowOff>
    </xdr:from>
    <xdr:to>
      <xdr:col>2</xdr:col>
      <xdr:colOff>409014</xdr:colOff>
      <xdr:row>3</xdr:row>
      <xdr:rowOff>168777</xdr:rowOff>
    </xdr:to>
    <xdr:sp macro="" textlink="'Pivot Report'!A5">
      <xdr:nvSpPr>
        <xdr:cNvPr id="26" name="TextBox 25">
          <a:extLst>
            <a:ext uri="{FF2B5EF4-FFF2-40B4-BE49-F238E27FC236}">
              <a16:creationId xmlns:a16="http://schemas.microsoft.com/office/drawing/2014/main" id="{D424ABC8-C39A-4DDA-9BD6-317F41285E07}"/>
            </a:ext>
          </a:extLst>
        </xdr:cNvPr>
        <xdr:cNvSpPr txBox="1"/>
      </xdr:nvSpPr>
      <xdr:spPr>
        <a:xfrm>
          <a:off x="745193" y="566953"/>
          <a:ext cx="885262" cy="173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B080E4B-08A2-45F2-97A8-E0FC25E78F66}" type="TxLink">
            <a:rPr lang="en-US" sz="900" b="0" i="0" u="none" strike="noStrike">
              <a:solidFill>
                <a:srgbClr val="000000"/>
              </a:solidFill>
              <a:latin typeface="Calibri"/>
              <a:cs typeface="Calibri"/>
            </a:rPr>
            <a:pPr algn="ctr"/>
            <a:t>519</a:t>
          </a:fld>
          <a:endParaRPr lang="en-IN" sz="900"/>
        </a:p>
      </xdr:txBody>
    </xdr:sp>
    <xdr:clientData/>
  </xdr:twoCellAnchor>
  <xdr:twoCellAnchor>
    <xdr:from>
      <xdr:col>1</xdr:col>
      <xdr:colOff>229720</xdr:colOff>
      <xdr:row>3</xdr:row>
      <xdr:rowOff>154504</xdr:rowOff>
    </xdr:from>
    <xdr:to>
      <xdr:col>2</xdr:col>
      <xdr:colOff>296956</xdr:colOff>
      <xdr:row>4</xdr:row>
      <xdr:rowOff>142426</xdr:rowOff>
    </xdr:to>
    <xdr:sp macro="" textlink="">
      <xdr:nvSpPr>
        <xdr:cNvPr id="27" name="TextBox 26">
          <a:extLst>
            <a:ext uri="{FF2B5EF4-FFF2-40B4-BE49-F238E27FC236}">
              <a16:creationId xmlns:a16="http://schemas.microsoft.com/office/drawing/2014/main" id="{7B30046C-D9F6-4131-93CD-5ED7FA930046}"/>
            </a:ext>
          </a:extLst>
        </xdr:cNvPr>
        <xdr:cNvSpPr txBox="1"/>
      </xdr:nvSpPr>
      <xdr:spPr>
        <a:xfrm>
          <a:off x="840441" y="726004"/>
          <a:ext cx="677956" cy="17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a:t>
          </a:r>
          <a:endParaRPr lang="en-IN" sz="900"/>
        </a:p>
      </xdr:txBody>
    </xdr:sp>
    <xdr:clientData/>
  </xdr:twoCellAnchor>
  <xdr:twoCellAnchor>
    <xdr:from>
      <xdr:col>5</xdr:col>
      <xdr:colOff>145679</xdr:colOff>
      <xdr:row>2</xdr:row>
      <xdr:rowOff>175757</xdr:rowOff>
    </xdr:from>
    <xdr:to>
      <xdr:col>6</xdr:col>
      <xdr:colOff>420220</xdr:colOff>
      <xdr:row>3</xdr:row>
      <xdr:rowOff>185073</xdr:rowOff>
    </xdr:to>
    <xdr:sp macro="" textlink="'Pivot Report'!A17">
      <xdr:nvSpPr>
        <xdr:cNvPr id="29" name="TextBox 28">
          <a:extLst>
            <a:ext uri="{FF2B5EF4-FFF2-40B4-BE49-F238E27FC236}">
              <a16:creationId xmlns:a16="http://schemas.microsoft.com/office/drawing/2014/main" id="{A63F59C2-F9D4-4CA3-913D-B5C86B4F135F}"/>
            </a:ext>
          </a:extLst>
        </xdr:cNvPr>
        <xdr:cNvSpPr txBox="1"/>
      </xdr:nvSpPr>
      <xdr:spPr>
        <a:xfrm>
          <a:off x="3199282" y="556757"/>
          <a:ext cx="885262" cy="199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EA2495B-971B-45AB-B11F-D09085345FA4}" type="TxLink">
            <a:rPr lang="en-US" sz="800" b="0" i="0" u="none" strike="noStrike">
              <a:solidFill>
                <a:srgbClr val="000000"/>
              </a:solidFill>
              <a:latin typeface="Calibri"/>
              <a:cs typeface="Calibri"/>
            </a:rPr>
            <a:pPr algn="ctr"/>
            <a:t>5.15</a:t>
          </a:fld>
          <a:endParaRPr lang="en-IN" sz="400"/>
        </a:p>
      </xdr:txBody>
    </xdr:sp>
    <xdr:clientData/>
  </xdr:twoCellAnchor>
  <xdr:twoCellAnchor>
    <xdr:from>
      <xdr:col>5</xdr:col>
      <xdr:colOff>90770</xdr:colOff>
      <xdr:row>3</xdr:row>
      <xdr:rowOff>83134</xdr:rowOff>
    </xdr:from>
    <xdr:to>
      <xdr:col>6</xdr:col>
      <xdr:colOff>522197</xdr:colOff>
      <xdr:row>4</xdr:row>
      <xdr:rowOff>136307</xdr:rowOff>
    </xdr:to>
    <xdr:sp macro="" textlink="">
      <xdr:nvSpPr>
        <xdr:cNvPr id="30" name="TextBox 29">
          <a:extLst>
            <a:ext uri="{FF2B5EF4-FFF2-40B4-BE49-F238E27FC236}">
              <a16:creationId xmlns:a16="http://schemas.microsoft.com/office/drawing/2014/main" id="{04FF9F77-CA9A-4EC2-8229-D3A21A5F8465}"/>
            </a:ext>
          </a:extLst>
        </xdr:cNvPr>
        <xdr:cNvSpPr txBox="1"/>
      </xdr:nvSpPr>
      <xdr:spPr>
        <a:xfrm>
          <a:off x="3144373" y="654634"/>
          <a:ext cx="1042148" cy="243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
          </a:r>
          <a:r>
            <a:rPr lang="en-IN" sz="800"/>
            <a:t>Satisfaction Score </a:t>
          </a:r>
        </a:p>
      </xdr:txBody>
    </xdr:sp>
    <xdr:clientData/>
  </xdr:twoCellAnchor>
  <xdr:twoCellAnchor>
    <xdr:from>
      <xdr:col>3</xdr:col>
      <xdr:colOff>258258</xdr:colOff>
      <xdr:row>2</xdr:row>
      <xdr:rowOff>185953</xdr:rowOff>
    </xdr:from>
    <xdr:to>
      <xdr:col>4</xdr:col>
      <xdr:colOff>398753</xdr:colOff>
      <xdr:row>3</xdr:row>
      <xdr:rowOff>168777</xdr:rowOff>
    </xdr:to>
    <xdr:sp macro="" textlink="'Pivot Report'!A11">
      <xdr:nvSpPr>
        <xdr:cNvPr id="31" name="TextBox 30">
          <a:extLst>
            <a:ext uri="{FF2B5EF4-FFF2-40B4-BE49-F238E27FC236}">
              <a16:creationId xmlns:a16="http://schemas.microsoft.com/office/drawing/2014/main" id="{7AC2F3D2-3634-40F8-A98B-BFA90C9C6359}"/>
            </a:ext>
          </a:extLst>
        </xdr:cNvPr>
        <xdr:cNvSpPr txBox="1"/>
      </xdr:nvSpPr>
      <xdr:spPr>
        <a:xfrm>
          <a:off x="2090420" y="566953"/>
          <a:ext cx="751215" cy="173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557B610-2F7F-4F3E-981B-0D902A371275}" type="TxLink">
            <a:rPr lang="en-US" sz="900" b="0" i="0" u="none" strike="noStrike">
              <a:solidFill>
                <a:srgbClr val="000000"/>
              </a:solidFill>
              <a:latin typeface="Calibri"/>
              <a:cs typeface="Calibri"/>
            </a:rPr>
            <a:pPr algn="ctr"/>
            <a:t>35.81</a:t>
          </a:fld>
          <a:endParaRPr lang="en-IN" sz="500"/>
        </a:p>
      </xdr:txBody>
    </xdr:sp>
    <xdr:clientData/>
  </xdr:twoCellAnchor>
  <xdr:twoCellAnchor>
    <xdr:from>
      <xdr:col>3</xdr:col>
      <xdr:colOff>184897</xdr:colOff>
      <xdr:row>3</xdr:row>
      <xdr:rowOff>159087</xdr:rowOff>
    </xdr:from>
    <xdr:to>
      <xdr:col>4</xdr:col>
      <xdr:colOff>465044</xdr:colOff>
      <xdr:row>4</xdr:row>
      <xdr:rowOff>89647</xdr:rowOff>
    </xdr:to>
    <xdr:sp macro="" textlink="">
      <xdr:nvSpPr>
        <xdr:cNvPr id="32" name="TextBox 31">
          <a:extLst>
            <a:ext uri="{FF2B5EF4-FFF2-40B4-BE49-F238E27FC236}">
              <a16:creationId xmlns:a16="http://schemas.microsoft.com/office/drawing/2014/main" id="{E91D4776-26B2-4DC6-98B6-1F51F4FD5B09}"/>
            </a:ext>
          </a:extLst>
        </xdr:cNvPr>
        <xdr:cNvSpPr txBox="1"/>
      </xdr:nvSpPr>
      <xdr:spPr>
        <a:xfrm>
          <a:off x="2017059" y="730587"/>
          <a:ext cx="890867" cy="121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a:t>
          </a:r>
          <a:r>
            <a:rPr lang="en-IN" sz="900" baseline="0"/>
            <a:t> Wait Time</a:t>
          </a:r>
          <a:endParaRPr lang="en-IN" sz="900"/>
        </a:p>
      </xdr:txBody>
    </xdr:sp>
    <xdr:clientData/>
  </xdr:twoCellAnchor>
  <xdr:twoCellAnchor>
    <xdr:from>
      <xdr:col>2</xdr:col>
      <xdr:colOff>355906</xdr:colOff>
      <xdr:row>2</xdr:row>
      <xdr:rowOff>175758</xdr:rowOff>
    </xdr:from>
    <xdr:to>
      <xdr:col>3</xdr:col>
      <xdr:colOff>78680</xdr:colOff>
      <xdr:row>4</xdr:row>
      <xdr:rowOff>62497</xdr:rowOff>
    </xdr:to>
    <xdr:pic>
      <xdr:nvPicPr>
        <xdr:cNvPr id="14" name="Picture 13">
          <a:extLst>
            <a:ext uri="{FF2B5EF4-FFF2-40B4-BE49-F238E27FC236}">
              <a16:creationId xmlns:a16="http://schemas.microsoft.com/office/drawing/2014/main" id="{22AEF52F-4362-4FB2-A0A3-2B60991224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577347" y="556758"/>
          <a:ext cx="333495" cy="267739"/>
        </a:xfrm>
        <a:prstGeom prst="rect">
          <a:avLst/>
        </a:prstGeom>
      </xdr:spPr>
    </xdr:pic>
    <xdr:clientData/>
  </xdr:twoCellAnchor>
  <xdr:twoCellAnchor>
    <xdr:from>
      <xdr:col>4</xdr:col>
      <xdr:colOff>420221</xdr:colOff>
      <xdr:row>2</xdr:row>
      <xdr:rowOff>149672</xdr:rowOff>
    </xdr:from>
    <xdr:to>
      <xdr:col>5</xdr:col>
      <xdr:colOff>74483</xdr:colOff>
      <xdr:row>4</xdr:row>
      <xdr:rowOff>13699</xdr:rowOff>
    </xdr:to>
    <xdr:pic>
      <xdr:nvPicPr>
        <xdr:cNvPr id="33" name="Picture 32">
          <a:extLst>
            <a:ext uri="{FF2B5EF4-FFF2-40B4-BE49-F238E27FC236}">
              <a16:creationId xmlns:a16="http://schemas.microsoft.com/office/drawing/2014/main" id="{0E0FA679-5907-4704-883A-196D8543AE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63103" y="530672"/>
          <a:ext cx="264983" cy="245027"/>
        </a:xfrm>
        <a:prstGeom prst="rect">
          <a:avLst/>
        </a:prstGeom>
      </xdr:spPr>
    </xdr:pic>
    <xdr:clientData/>
  </xdr:twoCellAnchor>
  <xdr:twoCellAnchor>
    <xdr:from>
      <xdr:col>6</xdr:col>
      <xdr:colOff>469010</xdr:colOff>
      <xdr:row>2</xdr:row>
      <xdr:rowOff>180856</xdr:rowOff>
    </xdr:from>
    <xdr:to>
      <xdr:col>7</xdr:col>
      <xdr:colOff>78806</xdr:colOff>
      <xdr:row>4</xdr:row>
      <xdr:rowOff>0</xdr:rowOff>
    </xdr:to>
    <xdr:pic>
      <xdr:nvPicPr>
        <xdr:cNvPr id="35" name="Picture 34">
          <a:extLst>
            <a:ext uri="{FF2B5EF4-FFF2-40B4-BE49-F238E27FC236}">
              <a16:creationId xmlns:a16="http://schemas.microsoft.com/office/drawing/2014/main" id="{C639C278-DBB2-4B16-836B-DCC14100E53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33334" y="561856"/>
          <a:ext cx="220516" cy="200144"/>
        </a:xfrm>
        <a:prstGeom prst="rect">
          <a:avLst/>
        </a:prstGeom>
      </xdr:spPr>
    </xdr:pic>
    <xdr:clientData/>
  </xdr:twoCellAnchor>
  <xdr:twoCellAnchor>
    <xdr:from>
      <xdr:col>1</xdr:col>
      <xdr:colOff>162486</xdr:colOff>
      <xdr:row>4</xdr:row>
      <xdr:rowOff>28015</xdr:rowOff>
    </xdr:from>
    <xdr:to>
      <xdr:col>3</xdr:col>
      <xdr:colOff>123265</xdr:colOff>
      <xdr:row>5</xdr:row>
      <xdr:rowOff>185401</xdr:rowOff>
    </xdr:to>
    <xdr:graphicFrame macro="">
      <xdr:nvGraphicFramePr>
        <xdr:cNvPr id="34" name="Chart 33">
          <a:hlinkClick xmlns:r="http://schemas.openxmlformats.org/officeDocument/2006/relationships" r:id="rId5"/>
          <a:extLst>
            <a:ext uri="{FF2B5EF4-FFF2-40B4-BE49-F238E27FC236}">
              <a16:creationId xmlns:a16="http://schemas.microsoft.com/office/drawing/2014/main" id="{8447082C-4EF9-45CD-9933-6F5627A06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179294</xdr:colOff>
      <xdr:row>4</xdr:row>
      <xdr:rowOff>89417</xdr:rowOff>
    </xdr:from>
    <xdr:to>
      <xdr:col>5</xdr:col>
      <xdr:colOff>84044</xdr:colOff>
      <xdr:row>5</xdr:row>
      <xdr:rowOff>174192</xdr:rowOff>
    </xdr:to>
    <xdr:graphicFrame macro="">
      <xdr:nvGraphicFramePr>
        <xdr:cNvPr id="37" name="Chart 36">
          <a:hlinkClick xmlns:r="http://schemas.openxmlformats.org/officeDocument/2006/relationships" r:id="rId7"/>
          <a:extLst>
            <a:ext uri="{FF2B5EF4-FFF2-40B4-BE49-F238E27FC236}">
              <a16:creationId xmlns:a16="http://schemas.microsoft.com/office/drawing/2014/main" id="{BD1A0A77-AF1C-4F1D-B723-6E6BFCD31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201706</xdr:colOff>
      <xdr:row>4</xdr:row>
      <xdr:rowOff>50428</xdr:rowOff>
    </xdr:from>
    <xdr:to>
      <xdr:col>7</xdr:col>
      <xdr:colOff>78441</xdr:colOff>
      <xdr:row>5</xdr:row>
      <xdr:rowOff>166552</xdr:rowOff>
    </xdr:to>
    <xdr:graphicFrame macro="">
      <xdr:nvGraphicFramePr>
        <xdr:cNvPr id="38" name="Chart 37">
          <a:hlinkClick xmlns:r="http://schemas.openxmlformats.org/officeDocument/2006/relationships" r:id="rId9"/>
          <a:extLst>
            <a:ext uri="{FF2B5EF4-FFF2-40B4-BE49-F238E27FC236}">
              <a16:creationId xmlns:a16="http://schemas.microsoft.com/office/drawing/2014/main" id="{F813B643-1E08-47BF-812F-0463B0055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134474</xdr:colOff>
          <xdr:row>6</xdr:row>
          <xdr:rowOff>11208</xdr:rowOff>
        </xdr:from>
        <xdr:to>
          <xdr:col>7</xdr:col>
          <xdr:colOff>123265</xdr:colOff>
          <xdr:row>8</xdr:row>
          <xdr:rowOff>118881</xdr:rowOff>
        </xdr:to>
        <xdr:pic>
          <xdr:nvPicPr>
            <xdr:cNvPr id="47" name="Picture 46">
              <a:extLst>
                <a:ext uri="{FF2B5EF4-FFF2-40B4-BE49-F238E27FC236}">
                  <a16:creationId xmlns:a16="http://schemas.microsoft.com/office/drawing/2014/main" id="{670986EF-5798-4CBB-B6BA-598DCC34CC6D}"/>
                </a:ext>
              </a:extLst>
            </xdr:cNvPr>
            <xdr:cNvPicPr>
              <a:picLocks noChangeAspect="1" noChangeArrowheads="1"/>
              <a:extLst>
                <a:ext uri="{84589F7E-364E-4C9E-8A38-B11213B215E9}">
                  <a14:cameraTool cellRange="'Pivot Report'!$A$47:$D$49" spid="_x0000_s1040"/>
                </a:ext>
              </a:extLst>
            </xdr:cNvPicPr>
          </xdr:nvPicPr>
          <xdr:blipFill>
            <a:blip xmlns:r="http://schemas.openxmlformats.org/officeDocument/2006/relationships" r:embed="rId11"/>
            <a:srcRect/>
            <a:stretch>
              <a:fillRect/>
            </a:stretch>
          </xdr:blipFill>
          <xdr:spPr bwMode="auto">
            <a:xfrm>
              <a:off x="745195" y="1154208"/>
              <a:ext cx="3653114" cy="488673"/>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431426</xdr:colOff>
      <xdr:row>7</xdr:row>
      <xdr:rowOff>140074</xdr:rowOff>
    </xdr:from>
    <xdr:to>
      <xdr:col>6</xdr:col>
      <xdr:colOff>240926</xdr:colOff>
      <xdr:row>11</xdr:row>
      <xdr:rowOff>140074</xdr:rowOff>
    </xdr:to>
    <xdr:graphicFrame macro="">
      <xdr:nvGraphicFramePr>
        <xdr:cNvPr id="48" name="Chart 47">
          <a:extLst>
            <a:ext uri="{FF2B5EF4-FFF2-40B4-BE49-F238E27FC236}">
              <a16:creationId xmlns:a16="http://schemas.microsoft.com/office/drawing/2014/main" id="{189551AE-242C-4DB8-B354-0D5A3E4D3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173690</xdr:colOff>
      <xdr:row>11</xdr:row>
      <xdr:rowOff>162485</xdr:rowOff>
    </xdr:from>
    <xdr:to>
      <xdr:col>5</xdr:col>
      <xdr:colOff>72838</xdr:colOff>
      <xdr:row>12</xdr:row>
      <xdr:rowOff>95251</xdr:rowOff>
    </xdr:to>
    <xdr:sp macro="" textlink="">
      <xdr:nvSpPr>
        <xdr:cNvPr id="49" name="TextBox 48">
          <a:extLst>
            <a:ext uri="{FF2B5EF4-FFF2-40B4-BE49-F238E27FC236}">
              <a16:creationId xmlns:a16="http://schemas.microsoft.com/office/drawing/2014/main" id="{6FF285B9-4E1D-41C1-B2C8-03CCBDBCED96}"/>
            </a:ext>
          </a:extLst>
        </xdr:cNvPr>
        <xdr:cNvSpPr txBox="1"/>
      </xdr:nvSpPr>
      <xdr:spPr>
        <a:xfrm>
          <a:off x="2005852" y="2257985"/>
          <a:ext cx="1120589" cy="12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By Age Group</a:t>
          </a:r>
          <a:endParaRPr lang="en-IN" sz="800"/>
        </a:p>
      </xdr:txBody>
    </xdr:sp>
    <xdr:clientData/>
  </xdr:twoCellAnchor>
  <xdr:twoCellAnchor>
    <xdr:from>
      <xdr:col>7</xdr:col>
      <xdr:colOff>229722</xdr:colOff>
      <xdr:row>0</xdr:row>
      <xdr:rowOff>67234</xdr:rowOff>
    </xdr:from>
    <xdr:to>
      <xdr:col>9</xdr:col>
      <xdr:colOff>207309</xdr:colOff>
      <xdr:row>5</xdr:row>
      <xdr:rowOff>168088</xdr:rowOff>
    </xdr:to>
    <xdr:graphicFrame macro="">
      <xdr:nvGraphicFramePr>
        <xdr:cNvPr id="50" name="Chart 49">
          <a:extLst>
            <a:ext uri="{FF2B5EF4-FFF2-40B4-BE49-F238E27FC236}">
              <a16:creationId xmlns:a16="http://schemas.microsoft.com/office/drawing/2014/main" id="{1D63B0FC-BB9D-4208-AA7F-E22F79301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285749</xdr:colOff>
      <xdr:row>5</xdr:row>
      <xdr:rowOff>56029</xdr:rowOff>
    </xdr:from>
    <xdr:to>
      <xdr:col>9</xdr:col>
      <xdr:colOff>184897</xdr:colOff>
      <xdr:row>5</xdr:row>
      <xdr:rowOff>179295</xdr:rowOff>
    </xdr:to>
    <xdr:sp macro="" textlink="">
      <xdr:nvSpPr>
        <xdr:cNvPr id="52" name="TextBox 51">
          <a:extLst>
            <a:ext uri="{FF2B5EF4-FFF2-40B4-BE49-F238E27FC236}">
              <a16:creationId xmlns:a16="http://schemas.microsoft.com/office/drawing/2014/main" id="{B7DAC06D-FE3A-4AB7-86F7-C888241C662E}"/>
            </a:ext>
          </a:extLst>
        </xdr:cNvPr>
        <xdr:cNvSpPr txBox="1"/>
      </xdr:nvSpPr>
      <xdr:spPr>
        <a:xfrm>
          <a:off x="4560793" y="1008529"/>
          <a:ext cx="1120589" cy="12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Attend Status</a:t>
          </a:r>
          <a:endParaRPr lang="en-IN" sz="800"/>
        </a:p>
      </xdr:txBody>
    </xdr:sp>
    <xdr:clientData/>
  </xdr:twoCellAnchor>
  <xdr:twoCellAnchor>
    <xdr:from>
      <xdr:col>9</xdr:col>
      <xdr:colOff>291354</xdr:colOff>
      <xdr:row>0</xdr:row>
      <xdr:rowOff>11206</xdr:rowOff>
    </xdr:from>
    <xdr:to>
      <xdr:col>11</xdr:col>
      <xdr:colOff>274545</xdr:colOff>
      <xdr:row>5</xdr:row>
      <xdr:rowOff>106458</xdr:rowOff>
    </xdr:to>
    <xdr:graphicFrame macro="">
      <xdr:nvGraphicFramePr>
        <xdr:cNvPr id="53" name="Chart 52">
          <a:extLst>
            <a:ext uri="{FF2B5EF4-FFF2-40B4-BE49-F238E27FC236}">
              <a16:creationId xmlns:a16="http://schemas.microsoft.com/office/drawing/2014/main" id="{E3294926-FA1B-4F61-93AA-64D8D74D7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392205</xdr:colOff>
      <xdr:row>5</xdr:row>
      <xdr:rowOff>95250</xdr:rowOff>
    </xdr:from>
    <xdr:to>
      <xdr:col>11</xdr:col>
      <xdr:colOff>291353</xdr:colOff>
      <xdr:row>6</xdr:row>
      <xdr:rowOff>28016</xdr:rowOff>
    </xdr:to>
    <xdr:sp macro="" textlink="">
      <xdr:nvSpPr>
        <xdr:cNvPr id="54" name="TextBox 53">
          <a:extLst>
            <a:ext uri="{FF2B5EF4-FFF2-40B4-BE49-F238E27FC236}">
              <a16:creationId xmlns:a16="http://schemas.microsoft.com/office/drawing/2014/main" id="{A4917C4E-EBA5-45B3-81E0-8873617ED09C}"/>
            </a:ext>
          </a:extLst>
        </xdr:cNvPr>
        <xdr:cNvSpPr txBox="1"/>
      </xdr:nvSpPr>
      <xdr:spPr>
        <a:xfrm>
          <a:off x="5888690" y="1047750"/>
          <a:ext cx="1120589" cy="12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By Gender</a:t>
          </a:r>
          <a:endParaRPr lang="en-IN" sz="800"/>
        </a:p>
      </xdr:txBody>
    </xdr:sp>
    <xdr:clientData/>
  </xdr:twoCellAnchor>
  <xdr:twoCellAnchor>
    <xdr:from>
      <xdr:col>7</xdr:col>
      <xdr:colOff>218513</xdr:colOff>
      <xdr:row>6</xdr:row>
      <xdr:rowOff>84045</xdr:rowOff>
    </xdr:from>
    <xdr:to>
      <xdr:col>11</xdr:col>
      <xdr:colOff>347381</xdr:colOff>
      <xdr:row>12</xdr:row>
      <xdr:rowOff>72839</xdr:rowOff>
    </xdr:to>
    <xdr:graphicFrame macro="">
      <xdr:nvGraphicFramePr>
        <xdr:cNvPr id="55" name="Chart 54">
          <a:extLst>
            <a:ext uri="{FF2B5EF4-FFF2-40B4-BE49-F238E27FC236}">
              <a16:creationId xmlns:a16="http://schemas.microsoft.com/office/drawing/2014/main" id="{E4F29923-8ED1-4896-9438-31774E470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224116</xdr:colOff>
      <xdr:row>11</xdr:row>
      <xdr:rowOff>140074</xdr:rowOff>
    </xdr:from>
    <xdr:to>
      <xdr:col>10</xdr:col>
      <xdr:colOff>549088</xdr:colOff>
      <xdr:row>12</xdr:row>
      <xdr:rowOff>72838</xdr:rowOff>
    </xdr:to>
    <xdr:sp macro="" textlink="">
      <xdr:nvSpPr>
        <xdr:cNvPr id="56" name="TextBox 55">
          <a:extLst>
            <a:ext uri="{FF2B5EF4-FFF2-40B4-BE49-F238E27FC236}">
              <a16:creationId xmlns:a16="http://schemas.microsoft.com/office/drawing/2014/main" id="{923E4D92-1ECE-4842-AB32-816202578062}"/>
            </a:ext>
          </a:extLst>
        </xdr:cNvPr>
        <xdr:cNvSpPr txBox="1"/>
      </xdr:nvSpPr>
      <xdr:spPr>
        <a:xfrm>
          <a:off x="5109881" y="2235574"/>
          <a:ext cx="1546413" cy="123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Patient</a:t>
          </a:r>
          <a:r>
            <a:rPr lang="en-IN" sz="700" baseline="0"/>
            <a:t> Count By Department Referal</a:t>
          </a:r>
          <a:endParaRPr lang="en-IN" sz="700"/>
        </a:p>
      </xdr:txBody>
    </xdr:sp>
    <xdr:clientData/>
  </xdr:twoCellAnchor>
  <xdr:twoCellAnchor editAs="oneCell">
    <xdr:from>
      <xdr:col>5</xdr:col>
      <xdr:colOff>235323</xdr:colOff>
      <xdr:row>0</xdr:row>
      <xdr:rowOff>78443</xdr:rowOff>
    </xdr:from>
    <xdr:to>
      <xdr:col>7</xdr:col>
      <xdr:colOff>57882</xdr:colOff>
      <xdr:row>2</xdr:row>
      <xdr:rowOff>67237</xdr:rowOff>
    </xdr:to>
    <mc:AlternateContent xmlns:mc="http://schemas.openxmlformats.org/markup-compatibility/2006">
      <mc:Choice xmlns:a14="http://schemas.microsoft.com/office/drawing/2010/main" Requires="a14">
        <xdr:graphicFrame macro="">
          <xdr:nvGraphicFramePr>
            <xdr:cNvPr id="57" name="Date (Year)">
              <a:extLst>
                <a:ext uri="{FF2B5EF4-FFF2-40B4-BE49-F238E27FC236}">
                  <a16:creationId xmlns:a16="http://schemas.microsoft.com/office/drawing/2014/main" id="{703EA41B-7F9D-4A57-8870-97A5A396B07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88926" y="78443"/>
              <a:ext cx="1044000" cy="369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0</xdr:row>
      <xdr:rowOff>180975</xdr:rowOff>
    </xdr:from>
    <xdr:to>
      <xdr:col>11</xdr:col>
      <xdr:colOff>590550</xdr:colOff>
      <xdr:row>17</xdr:row>
      <xdr:rowOff>66675</xdr:rowOff>
    </xdr:to>
    <xdr:graphicFrame macro="">
      <xdr:nvGraphicFramePr>
        <xdr:cNvPr id="2" name="Chart 1">
          <a:extLst>
            <a:ext uri="{FF2B5EF4-FFF2-40B4-BE49-F238E27FC236}">
              <a16:creationId xmlns:a16="http://schemas.microsoft.com/office/drawing/2014/main" id="{D3D56526-AECB-4372-BF91-C0F9F2388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495300</xdr:colOff>
      <xdr:row>1</xdr:row>
      <xdr:rowOff>19049</xdr:rowOff>
    </xdr:from>
    <xdr:to>
      <xdr:col>13</xdr:col>
      <xdr:colOff>171449</xdr:colOff>
      <xdr:row>19</xdr:row>
      <xdr:rowOff>66675</xdr:rowOff>
    </xdr:to>
    <xdr:graphicFrame macro="">
      <xdr:nvGraphicFramePr>
        <xdr:cNvPr id="2" name="Chart 1">
          <a:extLst>
            <a:ext uri="{FF2B5EF4-FFF2-40B4-BE49-F238E27FC236}">
              <a16:creationId xmlns:a16="http://schemas.microsoft.com/office/drawing/2014/main" id="{E8E814AB-483E-4803-A64C-7435E5BD1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542925</xdr:colOff>
      <xdr:row>1</xdr:row>
      <xdr:rowOff>19048</xdr:rowOff>
    </xdr:from>
    <xdr:to>
      <xdr:col>13</xdr:col>
      <xdr:colOff>95250</xdr:colOff>
      <xdr:row>18</xdr:row>
      <xdr:rowOff>114299</xdr:rowOff>
    </xdr:to>
    <xdr:graphicFrame macro="">
      <xdr:nvGraphicFramePr>
        <xdr:cNvPr id="3" name="Chart 2">
          <a:extLst>
            <a:ext uri="{FF2B5EF4-FFF2-40B4-BE49-F238E27FC236}">
              <a16:creationId xmlns:a16="http://schemas.microsoft.com/office/drawing/2014/main" id="{0BBC0A13-6088-49A6-85F5-8C3D27035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3240742" createdVersion="5" refreshedVersion="7" minRefreshableVersion="3" recordCount="0" supportSubquery="1" supportAdvancedDrill="1" xr:uid="{48916A06-DB04-4BCA-8008-1386B719AF31}">
  <cacheSource type="external" connectionId="3"/>
  <cacheFields count="4">
    <cacheField name="[Measures].[Distinct Count of Patient Id]" caption="Distinct Count of Patient Id" numFmtId="0" hierarchy="24" level="32767"/>
    <cacheField name="[Calende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3587965" createdVersion="5" refreshedVersion="7" minRefreshableVersion="3" recordCount="0" supportSubquery="1" supportAdvancedDrill="1" xr:uid="{131C4DE9-7049-43BE-BDC5-B5D64C2E8E1E}">
  <cacheSource type="external" connectionId="3"/>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3819443" createdVersion="5" refreshedVersion="7" minRefreshableVersion="3" recordCount="0" supportSubquery="1" supportAdvancedDrill="1" xr:uid="{AD1DF799-1340-4449-9FA1-54EEFDFD4CAD}">
  <cacheSource type="external" connectionId="3"/>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3935189" createdVersion="5" refreshedVersion="7" minRefreshableVersion="3" recordCount="0" supportSubquery="1" supportAdvancedDrill="1" xr:uid="{D0B7B7D0-0D8C-49B9-9DDB-5B8C380B45C5}">
  <cacheSource type="external" connectionId="3"/>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4513889" createdVersion="5" refreshedVersion="7" minRefreshableVersion="3" recordCount="0" supportSubquery="1" supportAdvancedDrill="1" xr:uid="{8C472FE6-2C44-4FEB-8813-E5508BC99F68}">
  <cacheSource type="external" connectionId="3"/>
  <cacheFields count="4">
    <cacheField name="[Calende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509259" createdVersion="5" refreshedVersion="7" minRefreshableVersion="3" recordCount="0" supportSubquery="1" supportAdvancedDrill="1" xr:uid="{20E3B100-57DC-4C04-9A28-C54DA0CE3C82}">
  <cacheSource type="external" connectionId="3"/>
  <cacheFields count="4">
    <cacheField name="[Calende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5555559" createdVersion="5" refreshedVersion="7" minRefreshableVersion="3" recordCount="0" supportSubquery="1" supportAdvancedDrill="1" xr:uid="{90315F57-3FFA-4185-93E6-E54DBE477F40}">
  <cacheSource type="external" connectionId="3"/>
  <cacheFields count="5">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ttend Status]" caption="Count of Patient Attend Status" numFmtId="0" hierarchy="29" level="32767"/>
    <cacheField name="[Calender].[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613426" createdVersion="5" refreshedVersion="7" minRefreshableVersion="3" recordCount="0" supportSubquery="1" supportAdvancedDrill="1" xr:uid="{E7194B03-AACA-4A55-A52E-98995847F963}">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7">
        <s v="10-09"/>
        <s v="20-29"/>
        <s v="30-39"/>
        <s v="40-49"/>
        <s v="50-59"/>
        <s v="60-69"/>
        <s v="70-79"/>
      </sharedItems>
    </cacheField>
    <cacheField name="[Measures].[Count of Age Group]" caption="Count of Age Group" numFmtId="0" hierarchy="32"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671296" createdVersion="5" refreshedVersion="7" minRefreshableVersion="3" recordCount="0" supportSubquery="1" supportAdvancedDrill="1" xr:uid="{0FB1A0B4-A31B-4A4A-BD8F-A363625872F7}">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7175929" createdVersion="5" refreshedVersion="7" minRefreshableVersion="3" recordCount="0" supportSubquery="1" supportAdvancedDrill="1" xr:uid="{63F7FBD7-19C2-4FC6-89B3-0B5830593D1C}">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775463" createdVersion="5" refreshedVersion="7" minRefreshableVersion="3" recordCount="0" supportSubquery="1" supportAdvancedDrill="1" xr:uid="{B6DFA0B0-4243-4EDB-97AC-FC025E462085}">
  <cacheSource type="external" connectionId="3"/>
  <cacheFields count="4">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700833333" createdVersion="5" refreshedVersion="7" minRefreshableVersion="3" recordCount="0" supportSubquery="1" supportAdvancedDrill="1" xr:uid="{25E1F190-1BF3-4597-8F3E-18D9A8D44C97}">
  <cacheSource type="external" connectionId="3"/>
  <cacheFields count="4">
    <cacheField name="[Calender].[Date (Month)].[Date (Month)]" caption="Date (Month)" numFmtId="0" hierarchy="1" level="1">
      <sharedItems containsNonDate="0" count="1">
        <s v="Sep"/>
      </sharedItems>
    </cacheField>
    <cacheField name="[Calender].[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er].[Date (Quarter)].[Date (Quarter)]" caption="Date (Quarter)" numFmtId="0" hierarchy="4" level="1">
      <sharedItems containsNonDate="0" count="1">
        <s v="Qtr3"/>
      </sharedItems>
    </cacheField>
    <cacheField name="[Calender].[Date (Year)].[Date (Year)]" caption="Date (Year)" numFmtId="0" hierarchy="3" level="1">
      <sharedItems count="1">
        <s v="2024"/>
      </sharedItems>
    </cacheField>
  </cacheFields>
  <cacheHierarchies count="35">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7.591644675929" createdVersion="3" refreshedVersion="7" minRefreshableVersion="3" recordCount="0" supportSubquery="1" supportAdvancedDrill="1" xr:uid="{A351577E-6643-4795-A5C4-C64CAB40562F}">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407890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1AA09-E69B-4C06-956A-D8948CB836FB}" name="PivotTable14" cacheId="2299"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chartFormat="15">
  <location ref="A111:A11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577">
      <pivotArea outline="0" collapsedLevelsAreSubtotals="1" fieldPosition="0"/>
    </format>
    <format dxfId="578">
      <pivotArea grandRow="1"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7EAFD5-EDFE-482F-A47C-3E63D96C7E7E}" name="PivotTable13" cacheId="2296"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chartFormat="15">
  <location ref="A91:B10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3">
    <format dxfId="632">
      <pivotArea outline="0" collapsedLevelsAreSubtotals="1" fieldPosition="0"/>
    </format>
    <format dxfId="631">
      <pivotArea collapsedLevelsAreSubtotals="1" fieldPosition="0">
        <references count="1">
          <reference field="1" count="0"/>
        </references>
      </pivotArea>
    </format>
    <format dxfId="630">
      <pivotArea grandRow="1"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9E586-98D9-47D1-8C83-F650C29AD333}" name="PivotTable12" cacheId="2293"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chartFormat="12">
  <location ref="A81:B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634">
      <pivotArea outline="0" collapsedLevelsAreSubtotals="1" fieldPosition="0"/>
    </format>
    <format dxfId="633">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DBF6CE-82A2-4FD2-BFF6-7C1E1AF6A330}" name="PivotTable11" cacheId="2290"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chartFormat="7">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636">
      <pivotArea outline="0" collapsedLevelsAreSubtotals="1" fieldPosition="0"/>
    </format>
    <format dxfId="635">
      <pivotArea collapsedLevelsAreSubtotals="1" fieldPosition="0">
        <references count="1">
          <reference field="1"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19CDE3-8AF7-446C-8A10-3ED61C5DC76E}" name="PivotTable10" cacheId="2287"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chartFormat="4">
  <location ref="A54: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638">
      <pivotArea outline="0" collapsedLevelsAreSubtotals="1" fieldPosition="0"/>
    </format>
    <format dxfId="637">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C9F29C-BBAD-4B14-AC05-51E6D9EDA5C6}" name="PivotTable7" cacheId="2284"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chartFormat="1">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ttend Status" fld="2" subtotal="count" baseField="0" baseItem="0"/>
    <dataField name="Count of Patient Attend Status2" fld="4" subtotal="count" showDataAs="percentOfTotal" baseField="0" baseItem="0" numFmtId="10">
      <extLst>
        <ext xmlns:x14="http://schemas.microsoft.com/office/spreadsheetml/2009/9/main" uri="{E15A36E0-9728-4e99-A89B-3F7291B0FE68}">
          <x14:dataField sourceField="2" uniqueName="[__Xl2].[Measures].[Count of Patient Attend Status]"/>
        </ext>
      </extLst>
    </dataField>
  </dataFields>
  <formats count="4">
    <format dxfId="642">
      <pivotArea outline="0" collapsedLevelsAreSubtotals="1" fieldPosition="0"/>
    </format>
    <format dxfId="641">
      <pivotArea collapsedLevelsAreSubtotals="1" fieldPosition="0">
        <references count="1">
          <reference field="1" count="1">
            <x v="1"/>
          </reference>
        </references>
      </pivotArea>
    </format>
    <format dxfId="640">
      <pivotArea collapsedLevelsAreSubtotals="1" fieldPosition="0">
        <references count="1">
          <reference field="1" count="1">
            <x v="0"/>
          </reference>
        </references>
      </pivotArea>
    </format>
    <format dxfId="63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9F61AC-AB18-4520-90EF-F7B93BFDF97D}" name="PivotTable6" cacheId="2281" applyNumberFormats="0" applyBorderFormats="0" applyFontFormats="0" applyPatternFormats="0" applyAlignmentFormats="0" applyWidthHeightFormats="1" dataCaption="Values" tag="b9e20ee9-87e7-491f-99ac-43399d970f9d" updatedVersion="7" minRefreshableVersion="3" subtotalHiddenItems="1" itemPrintTitles="1" createdVersion="5" indent="0" outline="1" outlineData="1" multipleFieldFilters="0" chartFormat="22">
  <location ref="O4:P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43">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BE2B56-E64F-4F0D-8B04-A2FCA87ECA26}" name="PivotTable5" cacheId="2278" applyNumberFormats="0" applyBorderFormats="0" applyFontFormats="0" applyPatternFormats="0" applyAlignmentFormats="0" applyWidthHeightFormats="1" dataCaption="Values" tag="b9e20ee9-87e7-491f-99ac-43399d970f9d" updatedVersion="7" minRefreshableVersion="3" subtotalHiddenItems="1" itemPrintTitles="1" createdVersion="5" indent="0" outline="1" outlineData="1" multipleFieldFilters="0" chartFormat="18">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dataFields>
  <formats count="1">
    <format dxfId="644">
      <pivotArea collapsedLevelsAreSubtotals="1" fieldPosition="0">
        <references count="1">
          <reference field="0" count="0"/>
        </references>
      </pivotArea>
    </format>
  </formats>
  <chartFormats count="2">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87A874-399D-4E54-B427-F5DC51413BD5}" name="PivotTable4" cacheId="2266" applyNumberFormats="0" applyBorderFormats="0" applyFontFormats="0" applyPatternFormats="0" applyAlignmentFormats="0" applyWidthHeightFormats="1" dataCaption="Values" tag="b9e20ee9-87e7-491f-99ac-43399d970f9d" updatedVersion="7" minRefreshableVersion="3" subtotalHiddenItems="1" itemPrintTitles="1" createdVersion="5" indent="0" outline="1" outlineData="1" multipleFieldFilters="0" chartFormat="12">
  <location ref="F4:G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1F8139-B389-4DAF-A77B-FBD0DCE1B6D8}" name="PivotTable1" cacheId="2269" applyNumberFormats="0" applyBorderFormats="0" applyFontFormats="0" applyPatternFormats="0" applyAlignmentFormats="0" applyWidthHeightFormats="1" dataCaption="Values" tag="b9e20ee9-87e7-491f-99ac-43399d970f9d"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A59BED-3080-438D-9E86-E16346873AD4}" name="PivotTable3" cacheId="2275" applyNumberFormats="0" applyBorderFormats="0" applyFontFormats="0" applyPatternFormats="0" applyAlignmentFormats="0" applyWidthHeightFormats="1" dataCaption="Values" tag="96838190-20f5-43f7-8279-53b70a83e476" updatedVersion="7"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45">
      <pivotArea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46262C-5A76-4774-9BCB-4DA4269051B4}" name="PivotTable2" cacheId="2272" applyNumberFormats="0" applyBorderFormats="0" applyFontFormats="0" applyPatternFormats="0" applyAlignmentFormats="0" applyWidthHeightFormats="1" dataCaption="Values" tag="e81febdd-c738-4931-bbd1-a3463f256003" updatedVersion="7"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46">
      <pivotArea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522EFF7-BBB9-47E4-95B6-7B0DF07A4A10}" sourceName="[Calender].[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10"/>
    <pivotTable tabId="1" name="PivotTable11"/>
    <pivotTable tabId="1" name="PivotTable12"/>
    <pivotTable tabId="1" name="PivotTable13"/>
    <pivotTable tabId="1" name="PivotTable14"/>
  </pivotTables>
  <data>
    <olap pivotCacheId="1740789051">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57F124E-D0C4-4BFF-9185-82CF2E980CD6}" sourceName="[Calender].[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s>
  <data>
    <olap pivotCacheId="1740789051">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14CEAFD-41B7-40F5-B16E-4841E980E011}" cache="Slicer_Date__Month" caption="Date (Month)" showCaption="0" level="1" style="my style" rowHeight="108000"/>
  <slicer name="Date (Year)" xr10:uid="{CEFB9927-84C1-4B46-B137-6433F65D576A}"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8C04-DB0E-4701-9789-6BB8CA7DFD4F}">
  <dimension ref="A3:P113"/>
  <sheetViews>
    <sheetView topLeftCell="A43" workbookViewId="0">
      <selection activeCell="C48" sqref="C48"/>
    </sheetView>
  </sheetViews>
  <sheetFormatPr defaultRowHeight="15" x14ac:dyDescent="0.25"/>
  <cols>
    <col min="1" max="1" width="34.28515625" bestFit="1" customWidth="1"/>
    <col min="2" max="2" width="28.42578125" bestFit="1" customWidth="1"/>
    <col min="3" max="3" width="29.42578125" bestFit="1" customWidth="1"/>
    <col min="4" max="4" width="38.5703125" customWidth="1"/>
    <col min="6" max="7" width="25.140625" bestFit="1" customWidth="1"/>
    <col min="11" max="11" width="13.140625" bestFit="1" customWidth="1"/>
    <col min="12" max="12" width="25.140625" bestFit="1" customWidth="1"/>
    <col min="15" max="15" width="13.140625" bestFit="1" customWidth="1"/>
    <col min="16" max="16" width="34.28515625" bestFit="1" customWidth="1"/>
  </cols>
  <sheetData>
    <row r="3" spans="1:16" x14ac:dyDescent="0.25">
      <c r="F3" t="s">
        <v>37</v>
      </c>
      <c r="K3" t="s">
        <v>36</v>
      </c>
    </row>
    <row r="4" spans="1:16" x14ac:dyDescent="0.25">
      <c r="A4" t="s">
        <v>0</v>
      </c>
      <c r="F4" s="4" t="s">
        <v>4</v>
      </c>
      <c r="G4" t="s">
        <v>0</v>
      </c>
      <c r="K4" s="4" t="s">
        <v>4</v>
      </c>
      <c r="L4" t="s">
        <v>1</v>
      </c>
      <c r="O4" s="4" t="s">
        <v>4</v>
      </c>
      <c r="P4" t="s">
        <v>2</v>
      </c>
    </row>
    <row r="5" spans="1:16" x14ac:dyDescent="0.25">
      <c r="A5" s="1">
        <v>519</v>
      </c>
      <c r="F5" s="5" t="s">
        <v>5</v>
      </c>
      <c r="G5" s="1">
        <v>14</v>
      </c>
      <c r="K5" s="5" t="s">
        <v>5</v>
      </c>
      <c r="L5" s="2">
        <v>35.642857142857146</v>
      </c>
      <c r="O5" s="5" t="s">
        <v>5</v>
      </c>
      <c r="P5" s="2">
        <v>7.4</v>
      </c>
    </row>
    <row r="6" spans="1:16" x14ac:dyDescent="0.25">
      <c r="F6" s="5" t="s">
        <v>6</v>
      </c>
      <c r="G6" s="1">
        <v>21</v>
      </c>
      <c r="K6" s="5" t="s">
        <v>6</v>
      </c>
      <c r="L6" s="2">
        <v>27</v>
      </c>
      <c r="O6" s="5" t="s">
        <v>6</v>
      </c>
      <c r="P6" s="2">
        <v>5.6</v>
      </c>
    </row>
    <row r="7" spans="1:16" x14ac:dyDescent="0.25">
      <c r="F7" s="5" t="s">
        <v>7</v>
      </c>
      <c r="G7" s="1">
        <v>21</v>
      </c>
      <c r="K7" s="5" t="s">
        <v>7</v>
      </c>
      <c r="L7" s="2">
        <v>36.047619047619051</v>
      </c>
      <c r="O7" s="5" t="s">
        <v>7</v>
      </c>
      <c r="P7" s="2">
        <v>6.7142857142857144</v>
      </c>
    </row>
    <row r="8" spans="1:16" x14ac:dyDescent="0.25">
      <c r="F8" s="5" t="s">
        <v>8</v>
      </c>
      <c r="G8" s="1">
        <v>15</v>
      </c>
      <c r="K8" s="5" t="s">
        <v>8</v>
      </c>
      <c r="L8" s="2">
        <v>38.866666666666667</v>
      </c>
      <c r="O8" s="5" t="s">
        <v>8</v>
      </c>
      <c r="P8" s="2">
        <v>6</v>
      </c>
    </row>
    <row r="9" spans="1:16" x14ac:dyDescent="0.25">
      <c r="F9" s="5" t="s">
        <v>9</v>
      </c>
      <c r="G9" s="1">
        <v>11</v>
      </c>
      <c r="K9" s="5" t="s">
        <v>9</v>
      </c>
      <c r="L9" s="2">
        <v>35.909090909090907</v>
      </c>
      <c r="O9" s="5" t="s">
        <v>9</v>
      </c>
      <c r="P9" s="2">
        <v>4</v>
      </c>
    </row>
    <row r="10" spans="1:16" x14ac:dyDescent="0.25">
      <c r="A10" t="s">
        <v>1</v>
      </c>
      <c r="F10" s="5" t="s">
        <v>10</v>
      </c>
      <c r="G10" s="1">
        <v>17</v>
      </c>
      <c r="K10" s="5" t="s">
        <v>10</v>
      </c>
      <c r="L10" s="2">
        <v>38.470588235294116</v>
      </c>
      <c r="O10" s="5" t="s">
        <v>10</v>
      </c>
      <c r="P10" s="2">
        <v>4.7142857142857144</v>
      </c>
    </row>
    <row r="11" spans="1:16" x14ac:dyDescent="0.25">
      <c r="A11" s="2">
        <v>35.809248554913296</v>
      </c>
      <c r="F11" s="5" t="s">
        <v>11</v>
      </c>
      <c r="G11" s="1">
        <v>15</v>
      </c>
      <c r="K11" s="5" t="s">
        <v>11</v>
      </c>
      <c r="L11" s="2">
        <v>36.733333333333334</v>
      </c>
      <c r="O11" s="5" t="s">
        <v>11</v>
      </c>
      <c r="P11" s="2">
        <v>1.8</v>
      </c>
    </row>
    <row r="12" spans="1:16" x14ac:dyDescent="0.25">
      <c r="F12" s="5" t="s">
        <v>12</v>
      </c>
      <c r="G12" s="1">
        <v>17</v>
      </c>
      <c r="K12" s="5" t="s">
        <v>12</v>
      </c>
      <c r="L12" s="2">
        <v>34.588235294117645</v>
      </c>
      <c r="O12" s="5" t="s">
        <v>12</v>
      </c>
      <c r="P12" s="2">
        <v>4.833333333333333</v>
      </c>
    </row>
    <row r="13" spans="1:16" x14ac:dyDescent="0.25">
      <c r="F13" s="5" t="s">
        <v>13</v>
      </c>
      <c r="G13" s="1">
        <v>13</v>
      </c>
      <c r="K13" s="5" t="s">
        <v>13</v>
      </c>
      <c r="L13" s="2">
        <v>37.53846153846154</v>
      </c>
      <c r="O13" s="5" t="s">
        <v>13</v>
      </c>
      <c r="P13" s="2">
        <v>4.25</v>
      </c>
    </row>
    <row r="14" spans="1:16" x14ac:dyDescent="0.25">
      <c r="F14" s="5" t="s">
        <v>14</v>
      </c>
      <c r="G14" s="1">
        <v>24</v>
      </c>
      <c r="K14" s="5" t="s">
        <v>14</v>
      </c>
      <c r="L14" s="2">
        <v>31.708333333333332</v>
      </c>
      <c r="O14" s="5" t="s">
        <v>14</v>
      </c>
      <c r="P14" s="2">
        <v>4.5999999999999996</v>
      </c>
    </row>
    <row r="15" spans="1:16" x14ac:dyDescent="0.25">
      <c r="F15" s="5" t="s">
        <v>15</v>
      </c>
      <c r="G15" s="1">
        <v>13</v>
      </c>
      <c r="K15" s="5" t="s">
        <v>15</v>
      </c>
      <c r="L15" s="2">
        <v>28.923076923076923</v>
      </c>
      <c r="O15" s="5" t="s">
        <v>15</v>
      </c>
      <c r="P15" s="2">
        <v>6.5</v>
      </c>
    </row>
    <row r="16" spans="1:16" x14ac:dyDescent="0.25">
      <c r="A16" t="s">
        <v>2</v>
      </c>
      <c r="F16" s="5" t="s">
        <v>16</v>
      </c>
      <c r="G16" s="1">
        <v>14</v>
      </c>
      <c r="K16" s="5" t="s">
        <v>16</v>
      </c>
      <c r="L16" s="2">
        <v>42.071428571428569</v>
      </c>
      <c r="O16" s="5" t="s">
        <v>16</v>
      </c>
      <c r="P16" s="2">
        <v>5</v>
      </c>
    </row>
    <row r="17" spans="1:16" x14ac:dyDescent="0.25">
      <c r="A17" s="2">
        <v>5.1455696202531644</v>
      </c>
      <c r="F17" s="5" t="s">
        <v>17</v>
      </c>
      <c r="G17" s="1">
        <v>12</v>
      </c>
      <c r="K17" s="5" t="s">
        <v>17</v>
      </c>
      <c r="L17" s="2">
        <v>35.833333333333336</v>
      </c>
      <c r="O17" s="5" t="s">
        <v>17</v>
      </c>
      <c r="P17" s="2">
        <v>6</v>
      </c>
    </row>
    <row r="18" spans="1:16" x14ac:dyDescent="0.25">
      <c r="F18" s="5" t="s">
        <v>18</v>
      </c>
      <c r="G18" s="1">
        <v>11</v>
      </c>
      <c r="K18" s="5" t="s">
        <v>18</v>
      </c>
      <c r="L18" s="2">
        <v>28.727272727272727</v>
      </c>
      <c r="O18" s="5" t="s">
        <v>18</v>
      </c>
      <c r="P18" s="2">
        <v>4.7142857142857144</v>
      </c>
    </row>
    <row r="19" spans="1:16" x14ac:dyDescent="0.25">
      <c r="F19" s="5" t="s">
        <v>19</v>
      </c>
      <c r="G19" s="1">
        <v>16</v>
      </c>
      <c r="K19" s="5" t="s">
        <v>19</v>
      </c>
      <c r="L19" s="2">
        <v>35.75</v>
      </c>
      <c r="O19" s="5" t="s">
        <v>19</v>
      </c>
      <c r="P19" s="2">
        <v>4.2</v>
      </c>
    </row>
    <row r="20" spans="1:16" x14ac:dyDescent="0.25">
      <c r="F20" s="5" t="s">
        <v>20</v>
      </c>
      <c r="G20" s="1">
        <v>20</v>
      </c>
      <c r="K20" s="5" t="s">
        <v>20</v>
      </c>
      <c r="L20" s="2">
        <v>34.75</v>
      </c>
      <c r="O20" s="5" t="s">
        <v>20</v>
      </c>
      <c r="P20" s="2">
        <v>7.2</v>
      </c>
    </row>
    <row r="21" spans="1:16" x14ac:dyDescent="0.25">
      <c r="F21" s="5" t="s">
        <v>21</v>
      </c>
      <c r="G21" s="1">
        <v>15</v>
      </c>
      <c r="K21" s="5" t="s">
        <v>21</v>
      </c>
      <c r="L21" s="2">
        <v>37.666666666666664</v>
      </c>
      <c r="O21" s="5" t="s">
        <v>21</v>
      </c>
      <c r="P21" s="2">
        <v>4.333333333333333</v>
      </c>
    </row>
    <row r="22" spans="1:16" x14ac:dyDescent="0.25">
      <c r="F22" s="5" t="s">
        <v>22</v>
      </c>
      <c r="G22" s="1">
        <v>19</v>
      </c>
      <c r="K22" s="5" t="s">
        <v>22</v>
      </c>
      <c r="L22" s="2">
        <v>40.421052631578945</v>
      </c>
      <c r="O22" s="5" t="s">
        <v>22</v>
      </c>
      <c r="P22" s="2">
        <v>3.7777777777777777</v>
      </c>
    </row>
    <row r="23" spans="1:16" x14ac:dyDescent="0.25">
      <c r="F23" s="5" t="s">
        <v>23</v>
      </c>
      <c r="G23" s="1">
        <v>16</v>
      </c>
      <c r="K23" s="5" t="s">
        <v>23</v>
      </c>
      <c r="L23" s="2">
        <v>33.75</v>
      </c>
      <c r="O23" s="5" t="s">
        <v>23</v>
      </c>
      <c r="P23" s="2">
        <v>3.6666666666666665</v>
      </c>
    </row>
    <row r="24" spans="1:16" x14ac:dyDescent="0.25">
      <c r="F24" s="5" t="s">
        <v>24</v>
      </c>
      <c r="G24" s="1">
        <v>17</v>
      </c>
      <c r="K24" s="5" t="s">
        <v>24</v>
      </c>
      <c r="L24" s="2">
        <v>32.764705882352942</v>
      </c>
      <c r="O24" s="5" t="s">
        <v>24</v>
      </c>
      <c r="P24" s="2">
        <v>4</v>
      </c>
    </row>
    <row r="25" spans="1:16" x14ac:dyDescent="0.25">
      <c r="F25" s="5" t="s">
        <v>25</v>
      </c>
      <c r="G25" s="1">
        <v>28</v>
      </c>
      <c r="K25" s="5" t="s">
        <v>25</v>
      </c>
      <c r="L25" s="2">
        <v>37.357142857142854</v>
      </c>
      <c r="O25" s="5" t="s">
        <v>25</v>
      </c>
      <c r="P25" s="2">
        <v>5.833333333333333</v>
      </c>
    </row>
    <row r="26" spans="1:16" x14ac:dyDescent="0.25">
      <c r="F26" s="5" t="s">
        <v>26</v>
      </c>
      <c r="G26" s="1">
        <v>22</v>
      </c>
      <c r="K26" s="5" t="s">
        <v>26</v>
      </c>
      <c r="L26" s="2">
        <v>37.227272727272727</v>
      </c>
      <c r="O26" s="5" t="s">
        <v>26</v>
      </c>
      <c r="P26" s="2">
        <v>5.666666666666667</v>
      </c>
    </row>
    <row r="27" spans="1:16" x14ac:dyDescent="0.25">
      <c r="F27" s="5" t="s">
        <v>27</v>
      </c>
      <c r="G27" s="1">
        <v>20</v>
      </c>
      <c r="K27" s="5" t="s">
        <v>27</v>
      </c>
      <c r="L27" s="2">
        <v>36.700000000000003</v>
      </c>
      <c r="O27" s="5" t="s">
        <v>27</v>
      </c>
      <c r="P27" s="2">
        <v>5.5</v>
      </c>
    </row>
    <row r="28" spans="1:16" x14ac:dyDescent="0.25">
      <c r="F28" s="5" t="s">
        <v>28</v>
      </c>
      <c r="G28" s="1">
        <v>17</v>
      </c>
      <c r="K28" s="5" t="s">
        <v>28</v>
      </c>
      <c r="L28" s="2">
        <v>43.058823529411768</v>
      </c>
      <c r="O28" s="5" t="s">
        <v>28</v>
      </c>
      <c r="P28" s="2">
        <v>5.5</v>
      </c>
    </row>
    <row r="29" spans="1:16" x14ac:dyDescent="0.25">
      <c r="F29" s="5" t="s">
        <v>29</v>
      </c>
      <c r="G29" s="1">
        <v>18</v>
      </c>
      <c r="K29" s="5" t="s">
        <v>29</v>
      </c>
      <c r="L29" s="2">
        <v>39.777777777777779</v>
      </c>
      <c r="O29" s="5" t="s">
        <v>29</v>
      </c>
      <c r="P29" s="2">
        <v>7</v>
      </c>
    </row>
    <row r="30" spans="1:16" x14ac:dyDescent="0.25">
      <c r="F30" s="5" t="s">
        <v>30</v>
      </c>
      <c r="G30" s="1">
        <v>13</v>
      </c>
      <c r="K30" s="5" t="s">
        <v>30</v>
      </c>
      <c r="L30" s="2">
        <v>40.692307692307693</v>
      </c>
      <c r="O30" s="5" t="s">
        <v>30</v>
      </c>
      <c r="P30" s="2">
        <v>7</v>
      </c>
    </row>
    <row r="31" spans="1:16" x14ac:dyDescent="0.25">
      <c r="F31" s="5" t="s">
        <v>31</v>
      </c>
      <c r="G31" s="1">
        <v>13</v>
      </c>
      <c r="K31" s="5" t="s">
        <v>31</v>
      </c>
      <c r="L31" s="2">
        <v>34.46153846153846</v>
      </c>
      <c r="O31" s="5" t="s">
        <v>31</v>
      </c>
      <c r="P31" s="2">
        <v>4</v>
      </c>
    </row>
    <row r="32" spans="1:16" x14ac:dyDescent="0.25">
      <c r="F32" s="5" t="s">
        <v>32</v>
      </c>
      <c r="G32" s="1">
        <v>13</v>
      </c>
      <c r="K32" s="5" t="s">
        <v>32</v>
      </c>
      <c r="L32" s="2">
        <v>30.307692307692307</v>
      </c>
      <c r="O32" s="5" t="s">
        <v>32</v>
      </c>
      <c r="P32" s="2">
        <v>4.4444444444444446</v>
      </c>
    </row>
    <row r="33" spans="1:16" x14ac:dyDescent="0.25">
      <c r="F33" s="5" t="s">
        <v>33</v>
      </c>
      <c r="G33" s="1">
        <v>20</v>
      </c>
      <c r="K33" s="5" t="s">
        <v>33</v>
      </c>
      <c r="L33" s="2">
        <v>38.5</v>
      </c>
      <c r="O33" s="5" t="s">
        <v>33</v>
      </c>
      <c r="P33" s="2">
        <v>4.8571428571428568</v>
      </c>
    </row>
    <row r="34" spans="1:16" x14ac:dyDescent="0.25">
      <c r="F34" s="5" t="s">
        <v>34</v>
      </c>
      <c r="G34" s="1">
        <v>15</v>
      </c>
      <c r="K34" s="5" t="s">
        <v>34</v>
      </c>
      <c r="L34" s="2">
        <v>35.333333333333336</v>
      </c>
      <c r="O34" s="5" t="s">
        <v>34</v>
      </c>
      <c r="P34" s="2">
        <v>5.5714285714285712</v>
      </c>
    </row>
    <row r="35" spans="1:16" x14ac:dyDescent="0.25">
      <c r="F35" s="5" t="s">
        <v>35</v>
      </c>
      <c r="G35" s="1">
        <v>19</v>
      </c>
      <c r="K35" s="5" t="s">
        <v>35</v>
      </c>
      <c r="L35" s="2">
        <v>32.421052631578945</v>
      </c>
      <c r="O35" s="5" t="s">
        <v>35</v>
      </c>
      <c r="P35" s="2">
        <v>6</v>
      </c>
    </row>
    <row r="36" spans="1:16" x14ac:dyDescent="0.25">
      <c r="F36" s="5" t="s">
        <v>3</v>
      </c>
      <c r="G36" s="1">
        <v>519</v>
      </c>
      <c r="K36" s="5" t="s">
        <v>3</v>
      </c>
      <c r="L36" s="1">
        <v>35.809248554913296</v>
      </c>
      <c r="O36" s="5" t="s">
        <v>3</v>
      </c>
      <c r="P36" s="1">
        <v>5.1455696202531644</v>
      </c>
    </row>
    <row r="41" spans="1:16" x14ac:dyDescent="0.25">
      <c r="A41" s="4" t="s">
        <v>4</v>
      </c>
      <c r="B41" t="s">
        <v>40</v>
      </c>
      <c r="C41" t="s">
        <v>41</v>
      </c>
    </row>
    <row r="42" spans="1:16" x14ac:dyDescent="0.25">
      <c r="A42" s="5" t="s">
        <v>38</v>
      </c>
      <c r="B42" s="7">
        <v>266</v>
      </c>
      <c r="C42" s="8">
        <v>0.51252408477842004</v>
      </c>
    </row>
    <row r="43" spans="1:16" x14ac:dyDescent="0.25">
      <c r="A43" s="5" t="s">
        <v>39</v>
      </c>
      <c r="B43" s="7">
        <v>253</v>
      </c>
      <c r="C43" s="8">
        <v>0.48747591522157996</v>
      </c>
    </row>
    <row r="44" spans="1:16" x14ac:dyDescent="0.25">
      <c r="A44" s="5" t="s">
        <v>3</v>
      </c>
      <c r="B44" s="2">
        <v>519</v>
      </c>
      <c r="C44" s="8">
        <v>1</v>
      </c>
    </row>
    <row r="47" spans="1:16" x14ac:dyDescent="0.25">
      <c r="A47" s="9" t="s">
        <v>42</v>
      </c>
      <c r="B47" s="9" t="s">
        <v>44</v>
      </c>
      <c r="C47" s="9" t="s">
        <v>43</v>
      </c>
      <c r="D47" s="9"/>
    </row>
    <row r="48" spans="1:16" x14ac:dyDescent="0.25">
      <c r="A48" s="10" t="str">
        <f>A43</f>
        <v>Not Admitted</v>
      </c>
      <c r="B48" s="10">
        <f>B43</f>
        <v>253</v>
      </c>
      <c r="C48" s="11">
        <f>C43</f>
        <v>0.48747591522157996</v>
      </c>
      <c r="D48" s="10"/>
    </row>
    <row r="49" spans="1:4" x14ac:dyDescent="0.25">
      <c r="A49" s="10" t="str">
        <f>A42</f>
        <v>Admitted</v>
      </c>
      <c r="B49" s="10">
        <f>B42</f>
        <v>266</v>
      </c>
      <c r="C49" s="11">
        <f>C42</f>
        <v>0.51252408477842004</v>
      </c>
      <c r="D49" s="10"/>
    </row>
    <row r="53" spans="1:4" x14ac:dyDescent="0.25">
      <c r="A53" t="s">
        <v>53</v>
      </c>
    </row>
    <row r="54" spans="1:4" x14ac:dyDescent="0.25">
      <c r="A54" s="4" t="s">
        <v>4</v>
      </c>
      <c r="B54" t="s">
        <v>52</v>
      </c>
    </row>
    <row r="55" spans="1:4" x14ac:dyDescent="0.25">
      <c r="A55" s="5" t="s">
        <v>45</v>
      </c>
      <c r="B55" s="7">
        <v>137</v>
      </c>
    </row>
    <row r="56" spans="1:4" x14ac:dyDescent="0.25">
      <c r="A56" s="5" t="s">
        <v>46</v>
      </c>
      <c r="B56" s="7">
        <v>74</v>
      </c>
    </row>
    <row r="57" spans="1:4" x14ac:dyDescent="0.25">
      <c r="A57" s="5" t="s">
        <v>47</v>
      </c>
      <c r="B57" s="7">
        <v>71</v>
      </c>
    </row>
    <row r="58" spans="1:4" x14ac:dyDescent="0.25">
      <c r="A58" s="5" t="s">
        <v>48</v>
      </c>
      <c r="B58" s="7">
        <v>58</v>
      </c>
    </row>
    <row r="59" spans="1:4" x14ac:dyDescent="0.25">
      <c r="A59" s="5" t="s">
        <v>49</v>
      </c>
      <c r="B59" s="7">
        <v>68</v>
      </c>
    </row>
    <row r="60" spans="1:4" x14ac:dyDescent="0.25">
      <c r="A60" s="5" t="s">
        <v>50</v>
      </c>
      <c r="B60" s="7">
        <v>62</v>
      </c>
    </row>
    <row r="61" spans="1:4" x14ac:dyDescent="0.25">
      <c r="A61" s="5" t="s">
        <v>51</v>
      </c>
      <c r="B61" s="7">
        <v>49</v>
      </c>
    </row>
    <row r="62" spans="1:4" x14ac:dyDescent="0.25">
      <c r="A62" s="5" t="s">
        <v>3</v>
      </c>
      <c r="B62" s="2">
        <v>519</v>
      </c>
    </row>
    <row r="71" spans="1:2" x14ac:dyDescent="0.25">
      <c r="A71" s="4" t="s">
        <v>4</v>
      </c>
      <c r="B71" t="s">
        <v>40</v>
      </c>
    </row>
    <row r="72" spans="1:2" x14ac:dyDescent="0.25">
      <c r="A72" s="5" t="s">
        <v>54</v>
      </c>
      <c r="B72" s="7">
        <v>324</v>
      </c>
    </row>
    <row r="73" spans="1:2" x14ac:dyDescent="0.25">
      <c r="A73" s="5" t="s">
        <v>55</v>
      </c>
      <c r="B73" s="7">
        <v>195</v>
      </c>
    </row>
    <row r="74" spans="1:2" x14ac:dyDescent="0.25">
      <c r="A74" s="5" t="s">
        <v>3</v>
      </c>
      <c r="B74" s="2">
        <v>519</v>
      </c>
    </row>
    <row r="80" spans="1:2" x14ac:dyDescent="0.25">
      <c r="A80" t="s">
        <v>59</v>
      </c>
    </row>
    <row r="81" spans="1:2" x14ac:dyDescent="0.25">
      <c r="A81" s="4" t="s">
        <v>4</v>
      </c>
      <c r="B81" t="s">
        <v>58</v>
      </c>
    </row>
    <row r="82" spans="1:2" x14ac:dyDescent="0.25">
      <c r="A82" s="5" t="s">
        <v>56</v>
      </c>
      <c r="B82" s="7">
        <v>254</v>
      </c>
    </row>
    <row r="83" spans="1:2" x14ac:dyDescent="0.25">
      <c r="A83" s="5" t="s">
        <v>57</v>
      </c>
      <c r="B83" s="7">
        <v>265</v>
      </c>
    </row>
    <row r="84" spans="1:2" x14ac:dyDescent="0.25">
      <c r="A84" s="5" t="s">
        <v>3</v>
      </c>
      <c r="B84" s="2">
        <v>519</v>
      </c>
    </row>
    <row r="90" spans="1:2" x14ac:dyDescent="0.25">
      <c r="A90" t="s">
        <v>68</v>
      </c>
    </row>
    <row r="91" spans="1:2" x14ac:dyDescent="0.25">
      <c r="A91" s="4" t="s">
        <v>4</v>
      </c>
      <c r="B91" t="s">
        <v>69</v>
      </c>
    </row>
    <row r="92" spans="1:2" x14ac:dyDescent="0.25">
      <c r="A92" s="5" t="s">
        <v>67</v>
      </c>
      <c r="B92" s="7">
        <v>3</v>
      </c>
    </row>
    <row r="93" spans="1:2" x14ac:dyDescent="0.25">
      <c r="A93" s="5" t="s">
        <v>61</v>
      </c>
      <c r="B93" s="7">
        <v>8</v>
      </c>
    </row>
    <row r="94" spans="1:2" x14ac:dyDescent="0.25">
      <c r="A94" s="5" t="s">
        <v>60</v>
      </c>
      <c r="B94" s="7">
        <v>11</v>
      </c>
    </row>
    <row r="95" spans="1:2" x14ac:dyDescent="0.25">
      <c r="A95" s="5" t="s">
        <v>66</v>
      </c>
      <c r="B95" s="7">
        <v>15</v>
      </c>
    </row>
    <row r="96" spans="1:2" x14ac:dyDescent="0.25">
      <c r="A96" s="5" t="s">
        <v>63</v>
      </c>
      <c r="B96" s="7">
        <v>16</v>
      </c>
    </row>
    <row r="97" spans="1:2" x14ac:dyDescent="0.25">
      <c r="A97" s="5" t="s">
        <v>65</v>
      </c>
      <c r="B97" s="7">
        <v>51</v>
      </c>
    </row>
    <row r="98" spans="1:2" x14ac:dyDescent="0.25">
      <c r="A98" s="5" t="s">
        <v>62</v>
      </c>
      <c r="B98" s="7">
        <v>102</v>
      </c>
    </row>
    <row r="99" spans="1:2" x14ac:dyDescent="0.25">
      <c r="A99" s="5" t="s">
        <v>64</v>
      </c>
      <c r="B99" s="7">
        <v>313</v>
      </c>
    </row>
    <row r="100" spans="1:2" x14ac:dyDescent="0.25">
      <c r="A100" s="5" t="s">
        <v>3</v>
      </c>
      <c r="B100" s="7">
        <v>519</v>
      </c>
    </row>
    <row r="111" spans="1:2" x14ac:dyDescent="0.25">
      <c r="A111" s="4" t="s">
        <v>4</v>
      </c>
    </row>
    <row r="112" spans="1:2" x14ac:dyDescent="0.25">
      <c r="A112" s="5" t="s">
        <v>70</v>
      </c>
    </row>
    <row r="113" spans="1:1" x14ac:dyDescent="0.25">
      <c r="A113" s="5" t="s">
        <v>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1CF0-2037-4D44-991A-D631C30B1418}">
  <dimension ref="A1:L16"/>
  <sheetViews>
    <sheetView tabSelected="1" zoomScale="170" zoomScaleNormal="170" workbookViewId="0">
      <selection activeCell="D19" sqref="D19"/>
    </sheetView>
  </sheetViews>
  <sheetFormatPr defaultRowHeight="15" x14ac:dyDescent="0.25"/>
  <sheetData>
    <row r="1" spans="1:12" x14ac:dyDescent="0.25">
      <c r="A1" s="3"/>
      <c r="B1" s="3"/>
      <c r="C1" s="3"/>
      <c r="D1" s="3"/>
      <c r="E1" s="3"/>
      <c r="F1" s="3"/>
      <c r="G1" s="3"/>
      <c r="H1" s="3"/>
      <c r="I1" s="3"/>
      <c r="J1" s="3"/>
      <c r="K1" s="3"/>
      <c r="L1" s="3"/>
    </row>
    <row r="2" spans="1:12" x14ac:dyDescent="0.25">
      <c r="A2" s="3"/>
      <c r="B2" s="3"/>
      <c r="C2" s="3"/>
      <c r="D2" s="3"/>
      <c r="E2" s="3"/>
      <c r="F2" s="3"/>
      <c r="G2" s="3"/>
      <c r="H2" s="3"/>
      <c r="I2" s="3"/>
      <c r="J2" s="3"/>
      <c r="K2" s="3"/>
      <c r="L2" s="3"/>
    </row>
    <row r="3" spans="1:12" x14ac:dyDescent="0.25">
      <c r="A3" s="3"/>
      <c r="B3" s="3"/>
      <c r="C3" s="3"/>
      <c r="D3" s="3"/>
      <c r="E3" s="3"/>
      <c r="F3" s="3"/>
      <c r="G3" s="3"/>
      <c r="H3" s="3"/>
      <c r="I3" s="3"/>
      <c r="J3" s="3"/>
      <c r="K3" s="3"/>
      <c r="L3" s="3"/>
    </row>
    <row r="4" spans="1:12" x14ac:dyDescent="0.25">
      <c r="A4" s="3"/>
      <c r="B4" s="3"/>
      <c r="C4" s="3"/>
      <c r="D4" s="3"/>
      <c r="E4" s="3"/>
      <c r="F4" s="3"/>
      <c r="G4" s="3"/>
      <c r="H4" s="3"/>
      <c r="I4" s="3"/>
      <c r="J4" s="3"/>
      <c r="K4" s="3"/>
      <c r="L4" s="3"/>
    </row>
    <row r="5" spans="1:12" x14ac:dyDescent="0.25">
      <c r="A5" s="3"/>
      <c r="B5" s="3"/>
      <c r="C5" s="3"/>
      <c r="D5" s="3"/>
      <c r="E5" s="3"/>
      <c r="F5" s="3"/>
      <c r="G5" s="3"/>
      <c r="H5" s="3"/>
      <c r="I5" s="3"/>
      <c r="J5" s="3"/>
      <c r="K5" s="3"/>
      <c r="L5" s="3"/>
    </row>
    <row r="6" spans="1:12" x14ac:dyDescent="0.25">
      <c r="A6" s="3"/>
      <c r="B6" s="3"/>
      <c r="C6" s="3"/>
      <c r="D6" s="3"/>
      <c r="E6" s="3"/>
      <c r="F6" s="3"/>
      <c r="G6" s="3"/>
      <c r="H6" s="3"/>
      <c r="I6" s="3"/>
      <c r="J6" s="3"/>
      <c r="K6" s="3"/>
      <c r="L6" s="3"/>
    </row>
    <row r="7" spans="1:12" x14ac:dyDescent="0.25">
      <c r="A7" s="3"/>
      <c r="B7" s="3"/>
      <c r="C7" s="3"/>
      <c r="D7" s="3"/>
      <c r="E7" s="3"/>
      <c r="F7" s="3"/>
      <c r="G7" s="3"/>
      <c r="H7" s="3"/>
      <c r="I7" s="3"/>
      <c r="J7" s="3"/>
      <c r="K7" s="3"/>
      <c r="L7" s="3"/>
    </row>
    <row r="8" spans="1:12" x14ac:dyDescent="0.25">
      <c r="A8" s="3"/>
      <c r="B8" s="3"/>
      <c r="C8" s="3"/>
      <c r="D8" s="3"/>
      <c r="E8" s="3"/>
      <c r="F8" s="3"/>
      <c r="G8" s="3"/>
      <c r="H8" s="3"/>
      <c r="I8" s="3"/>
      <c r="J8" s="3"/>
      <c r="K8" s="3"/>
      <c r="L8" s="3"/>
    </row>
    <row r="9" spans="1:12" x14ac:dyDescent="0.25">
      <c r="A9" s="3"/>
      <c r="B9" s="3"/>
      <c r="C9" s="3"/>
      <c r="D9" s="3"/>
      <c r="E9" s="3"/>
      <c r="F9" s="3"/>
      <c r="G9" s="3"/>
      <c r="H9" s="3"/>
      <c r="I9" s="3"/>
      <c r="J9" s="3"/>
      <c r="K9" s="3"/>
      <c r="L9" s="3"/>
    </row>
    <row r="10" spans="1:12" x14ac:dyDescent="0.25">
      <c r="A10" s="3"/>
      <c r="B10" s="3"/>
      <c r="C10" s="3"/>
      <c r="D10" s="3"/>
      <c r="E10" s="3"/>
      <c r="F10" s="3"/>
      <c r="G10" s="3"/>
      <c r="H10" s="3"/>
      <c r="I10" s="3"/>
      <c r="J10" s="3"/>
      <c r="K10" s="3"/>
      <c r="L10" s="3"/>
    </row>
    <row r="11" spans="1:12" x14ac:dyDescent="0.25">
      <c r="A11" s="3"/>
      <c r="B11" s="3"/>
      <c r="C11" s="3"/>
      <c r="D11" s="3"/>
      <c r="E11" s="3"/>
      <c r="F11" s="3"/>
      <c r="G11" s="3"/>
      <c r="H11" s="3"/>
      <c r="I11" s="3"/>
      <c r="J11" s="3"/>
      <c r="K11" s="3"/>
      <c r="L11" s="3"/>
    </row>
    <row r="12" spans="1:12" x14ac:dyDescent="0.25">
      <c r="A12" s="3"/>
      <c r="B12" s="3"/>
      <c r="C12" s="3"/>
      <c r="D12" s="3"/>
      <c r="E12" s="3"/>
      <c r="F12" s="3"/>
      <c r="G12" s="3"/>
      <c r="H12" s="3"/>
      <c r="I12" s="3"/>
      <c r="J12" s="3"/>
      <c r="K12" s="3"/>
      <c r="L12" s="3"/>
    </row>
    <row r="13" spans="1:12" x14ac:dyDescent="0.25">
      <c r="A13" s="3"/>
      <c r="B13" s="3"/>
      <c r="C13" s="3"/>
      <c r="D13" s="3"/>
      <c r="E13" s="3"/>
      <c r="F13" s="3"/>
      <c r="G13" s="3"/>
      <c r="H13" s="3"/>
      <c r="I13" s="3"/>
      <c r="J13" s="3"/>
      <c r="K13" s="3"/>
      <c r="L13" s="3"/>
    </row>
    <row r="14" spans="1:12" x14ac:dyDescent="0.25">
      <c r="A14" s="3"/>
      <c r="B14" s="3"/>
      <c r="C14" s="3"/>
      <c r="D14" s="3"/>
      <c r="E14" s="3"/>
      <c r="F14" s="3"/>
      <c r="G14" s="3"/>
      <c r="H14" s="3"/>
      <c r="I14" s="3"/>
      <c r="J14" s="3"/>
      <c r="K14" s="3"/>
      <c r="L14" s="3"/>
    </row>
    <row r="15" spans="1:12" x14ac:dyDescent="0.25">
      <c r="A15" s="3"/>
      <c r="B15" s="3"/>
      <c r="C15" s="3"/>
      <c r="D15" s="3"/>
      <c r="E15" s="3"/>
      <c r="F15" s="3"/>
      <c r="G15" s="3"/>
      <c r="H15" s="3"/>
      <c r="I15" s="3"/>
      <c r="J15" s="3"/>
      <c r="K15" s="3"/>
      <c r="L15" s="3"/>
    </row>
    <row r="16" spans="1:12" x14ac:dyDescent="0.25">
      <c r="A16" s="3"/>
      <c r="B16" s="3"/>
      <c r="C16" s="3"/>
      <c r="D16" s="3"/>
      <c r="E16" s="3"/>
      <c r="F16" s="3"/>
      <c r="G16" s="3"/>
      <c r="H16" s="3"/>
      <c r="I16" s="3"/>
      <c r="J16" s="3"/>
      <c r="K16" s="3"/>
      <c r="L16" s="3"/>
    </row>
  </sheetData>
  <pageMargins left="0.7" right="0.7" top="0.75" bottom="0.75" header="0.3" footer="0.3"/>
  <pageSetup orientation="portrait" horizontalDpi="300" verticalDpi="30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6AF-70DA-4275-93B1-38830FEBCD6B}">
  <dimension ref="A1:N20"/>
  <sheetViews>
    <sheetView workbookViewId="0"/>
  </sheetViews>
  <sheetFormatPr defaultRowHeight="15" x14ac:dyDescent="0.25"/>
  <sheetData>
    <row r="1" spans="1:14" x14ac:dyDescent="0.25">
      <c r="A1" s="6"/>
      <c r="B1" s="6"/>
      <c r="C1" s="6"/>
      <c r="D1" s="6"/>
      <c r="E1" s="6"/>
      <c r="F1" s="6"/>
      <c r="G1" s="6"/>
      <c r="H1" s="6"/>
      <c r="I1" s="6"/>
      <c r="J1" s="6"/>
      <c r="K1" s="6"/>
      <c r="L1" s="6"/>
      <c r="M1" s="6"/>
      <c r="N1" s="6"/>
    </row>
    <row r="2" spans="1:14"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6"/>
      <c r="C5" s="6"/>
      <c r="D5" s="6"/>
      <c r="E5" s="6"/>
      <c r="F5" s="6"/>
      <c r="G5" s="6"/>
      <c r="H5" s="6"/>
      <c r="I5" s="6"/>
      <c r="J5" s="6"/>
      <c r="K5" s="6"/>
      <c r="L5" s="6"/>
      <c r="M5" s="6"/>
      <c r="N5" s="6"/>
    </row>
    <row r="6" spans="1:14" x14ac:dyDescent="0.25">
      <c r="A6" s="6"/>
      <c r="B6" s="6"/>
      <c r="C6" s="6"/>
      <c r="D6" s="6"/>
      <c r="E6" s="6"/>
      <c r="F6" s="6"/>
      <c r="G6" s="6"/>
      <c r="H6" s="6"/>
      <c r="I6" s="6"/>
      <c r="J6" s="6"/>
      <c r="K6" s="6"/>
      <c r="L6" s="6"/>
      <c r="M6" s="6"/>
      <c r="N6" s="6"/>
    </row>
    <row r="7" spans="1:14" x14ac:dyDescent="0.25">
      <c r="A7" s="6"/>
      <c r="B7" s="6"/>
      <c r="C7" s="6"/>
      <c r="D7" s="6"/>
      <c r="E7" s="6"/>
      <c r="F7" s="6"/>
      <c r="G7" s="6"/>
      <c r="H7" s="6"/>
      <c r="I7" s="6"/>
      <c r="J7" s="6"/>
      <c r="K7" s="6"/>
      <c r="L7" s="6"/>
      <c r="M7" s="6"/>
      <c r="N7" s="6"/>
    </row>
    <row r="8" spans="1:14" x14ac:dyDescent="0.25">
      <c r="A8" s="6"/>
      <c r="B8" s="6"/>
      <c r="C8" s="6"/>
      <c r="D8" s="6"/>
      <c r="E8" s="6"/>
      <c r="F8" s="6"/>
      <c r="G8" s="6"/>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6"/>
      <c r="C10" s="6"/>
      <c r="D10" s="6"/>
      <c r="E10" s="6"/>
      <c r="F10" s="6"/>
      <c r="G10" s="6"/>
      <c r="H10" s="6"/>
      <c r="I10" s="6"/>
      <c r="J10" s="6"/>
      <c r="K10" s="6"/>
      <c r="L10" s="6"/>
      <c r="M10" s="6"/>
      <c r="N10" s="6"/>
    </row>
    <row r="11" spans="1:14" x14ac:dyDescent="0.25">
      <c r="A11" s="6"/>
      <c r="B11" s="6"/>
      <c r="C11" s="6"/>
      <c r="D11" s="6"/>
      <c r="E11" s="6"/>
      <c r="F11" s="6"/>
      <c r="G11" s="6"/>
      <c r="H11" s="6"/>
      <c r="I11" s="6"/>
      <c r="J11" s="6"/>
      <c r="K11" s="6"/>
      <c r="L11" s="6"/>
      <c r="M11" s="6"/>
      <c r="N11" s="6"/>
    </row>
    <row r="12" spans="1:14" x14ac:dyDescent="0.25">
      <c r="A12" s="6"/>
      <c r="B12" s="6"/>
      <c r="C12" s="6"/>
      <c r="D12" s="6"/>
      <c r="E12" s="6"/>
      <c r="F12" s="6"/>
      <c r="G12" s="6"/>
      <c r="H12" s="6"/>
      <c r="I12" s="6"/>
      <c r="J12" s="6"/>
      <c r="K12" s="6"/>
      <c r="L12" s="6"/>
      <c r="M12" s="6"/>
      <c r="N12" s="6"/>
    </row>
    <row r="13" spans="1:14" x14ac:dyDescent="0.25">
      <c r="A13" s="6"/>
      <c r="B13" s="6"/>
      <c r="C13" s="6"/>
      <c r="D13" s="6"/>
      <c r="E13" s="6"/>
      <c r="F13" s="6"/>
      <c r="G13" s="6"/>
      <c r="H13" s="6"/>
      <c r="I13" s="6"/>
      <c r="J13" s="6"/>
      <c r="K13" s="6"/>
      <c r="L13" s="6"/>
      <c r="M13" s="6"/>
      <c r="N13" s="6"/>
    </row>
    <row r="14" spans="1:14" x14ac:dyDescent="0.25">
      <c r="A14" s="6"/>
      <c r="B14" s="6"/>
      <c r="C14" s="6"/>
      <c r="D14" s="6"/>
      <c r="E14" s="6"/>
      <c r="F14" s="6"/>
      <c r="G14" s="6"/>
      <c r="H14" s="6"/>
      <c r="I14" s="6"/>
      <c r="J14" s="6"/>
      <c r="K14" s="6"/>
      <c r="L14" s="6"/>
      <c r="M14" s="6"/>
      <c r="N14" s="6"/>
    </row>
    <row r="15" spans="1:14" x14ac:dyDescent="0.25">
      <c r="A15" s="6"/>
      <c r="B15" s="6"/>
      <c r="C15" s="6"/>
      <c r="D15" s="6"/>
      <c r="E15" s="6"/>
      <c r="F15" s="6"/>
      <c r="G15" s="6"/>
      <c r="H15" s="6"/>
      <c r="I15" s="6"/>
      <c r="J15" s="6"/>
      <c r="K15" s="6"/>
      <c r="L15" s="6"/>
      <c r="M15" s="6"/>
      <c r="N15" s="6"/>
    </row>
    <row r="16" spans="1:14" x14ac:dyDescent="0.25">
      <c r="A16" s="6"/>
      <c r="B16" s="6"/>
      <c r="C16" s="6"/>
      <c r="D16" s="6"/>
      <c r="E16" s="6"/>
      <c r="F16" s="6"/>
      <c r="G16" s="6"/>
      <c r="H16" s="6"/>
      <c r="I16" s="6"/>
      <c r="J16" s="6"/>
      <c r="K16" s="6"/>
      <c r="L16" s="6"/>
      <c r="M16" s="6"/>
      <c r="N16" s="6"/>
    </row>
    <row r="17" spans="1:14" x14ac:dyDescent="0.25">
      <c r="A17" s="6"/>
      <c r="B17" s="6"/>
      <c r="C17" s="6"/>
      <c r="D17" s="6"/>
      <c r="E17" s="6"/>
      <c r="F17" s="6"/>
      <c r="G17" s="6"/>
      <c r="H17" s="6"/>
      <c r="I17" s="6"/>
      <c r="J17" s="6"/>
      <c r="K17" s="6"/>
      <c r="L17" s="6"/>
      <c r="M17" s="6"/>
      <c r="N17" s="6"/>
    </row>
    <row r="18" spans="1:14" x14ac:dyDescent="0.25">
      <c r="A18" s="6"/>
      <c r="B18" s="6"/>
      <c r="C18" s="6"/>
      <c r="D18" s="6"/>
      <c r="E18" s="6"/>
      <c r="F18" s="6"/>
      <c r="G18" s="6"/>
      <c r="H18" s="6"/>
      <c r="I18" s="6"/>
      <c r="J18" s="6"/>
      <c r="K18" s="6"/>
      <c r="L18" s="6"/>
      <c r="M18" s="6"/>
      <c r="N18" s="6"/>
    </row>
    <row r="19" spans="1:14" x14ac:dyDescent="0.25">
      <c r="A19" s="6"/>
      <c r="B19" s="6"/>
      <c r="C19" s="6"/>
      <c r="D19" s="6"/>
      <c r="E19" s="6"/>
      <c r="F19" s="6"/>
      <c r="G19" s="6"/>
      <c r="H19" s="6"/>
      <c r="I19" s="6"/>
      <c r="J19" s="6"/>
      <c r="K19" s="6"/>
      <c r="L19" s="6"/>
      <c r="M19" s="6"/>
      <c r="N19" s="6"/>
    </row>
    <row r="20" spans="1:14" x14ac:dyDescent="0.25">
      <c r="A20" s="6"/>
      <c r="B20" s="6"/>
      <c r="C20" s="6"/>
      <c r="D20" s="6"/>
      <c r="E20" s="6"/>
      <c r="F20" s="6"/>
      <c r="G20" s="6"/>
      <c r="H20" s="6"/>
      <c r="I20" s="6"/>
      <c r="J20" s="6"/>
      <c r="K20" s="6"/>
      <c r="L20" s="6"/>
      <c r="M20" s="6"/>
      <c r="N2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1D97B-02F2-41B5-A0DF-B361C5C74863}">
  <dimension ref="A1:N21"/>
  <sheetViews>
    <sheetView workbookViewId="0"/>
  </sheetViews>
  <sheetFormatPr defaultRowHeight="15" x14ac:dyDescent="0.25"/>
  <sheetData>
    <row r="1" spans="1:14" x14ac:dyDescent="0.25">
      <c r="A1" s="6"/>
      <c r="B1" s="6"/>
      <c r="C1" s="6"/>
      <c r="D1" s="6"/>
      <c r="E1" s="6"/>
      <c r="F1" s="6"/>
      <c r="G1" s="6"/>
      <c r="H1" s="6"/>
      <c r="I1" s="6"/>
      <c r="J1" s="6"/>
      <c r="K1" s="6"/>
      <c r="L1" s="6"/>
      <c r="M1" s="6"/>
      <c r="N1" s="6"/>
    </row>
    <row r="2" spans="1:14"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6"/>
      <c r="C5" s="6"/>
      <c r="D5" s="6"/>
      <c r="E5" s="6"/>
      <c r="F5" s="6"/>
      <c r="G5" s="6"/>
      <c r="H5" s="6"/>
      <c r="I5" s="6"/>
      <c r="J5" s="6"/>
      <c r="K5" s="6"/>
      <c r="L5" s="6"/>
      <c r="M5" s="6"/>
      <c r="N5" s="6"/>
    </row>
    <row r="6" spans="1:14" x14ac:dyDescent="0.25">
      <c r="A6" s="6"/>
      <c r="B6" s="6"/>
      <c r="C6" s="6"/>
      <c r="D6" s="6"/>
      <c r="E6" s="6"/>
      <c r="F6" s="6"/>
      <c r="G6" s="6"/>
      <c r="H6" s="6"/>
      <c r="I6" s="6"/>
      <c r="J6" s="6"/>
      <c r="K6" s="6"/>
      <c r="L6" s="6"/>
      <c r="M6" s="6"/>
      <c r="N6" s="6"/>
    </row>
    <row r="7" spans="1:14" x14ac:dyDescent="0.25">
      <c r="A7" s="6"/>
      <c r="B7" s="6"/>
      <c r="C7" s="6"/>
      <c r="D7" s="6"/>
      <c r="E7" s="6"/>
      <c r="F7" s="6"/>
      <c r="G7" s="6"/>
      <c r="H7" s="6"/>
      <c r="I7" s="6"/>
      <c r="J7" s="6"/>
      <c r="K7" s="6"/>
      <c r="L7" s="6"/>
      <c r="M7" s="6"/>
      <c r="N7" s="6"/>
    </row>
    <row r="8" spans="1:14" x14ac:dyDescent="0.25">
      <c r="A8" s="6"/>
      <c r="B8" s="6"/>
      <c r="C8" s="6"/>
      <c r="D8" s="6"/>
      <c r="E8" s="6"/>
      <c r="F8" s="6"/>
      <c r="G8" s="6"/>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6"/>
      <c r="C10" s="6"/>
      <c r="D10" s="6"/>
      <c r="E10" s="6"/>
      <c r="F10" s="6"/>
      <c r="G10" s="6"/>
      <c r="H10" s="6"/>
      <c r="I10" s="6"/>
      <c r="J10" s="6"/>
      <c r="K10" s="6"/>
      <c r="L10" s="6"/>
      <c r="M10" s="6"/>
      <c r="N10" s="6"/>
    </row>
    <row r="11" spans="1:14" x14ac:dyDescent="0.25">
      <c r="A11" s="6"/>
      <c r="B11" s="6"/>
      <c r="C11" s="6"/>
      <c r="D11" s="6"/>
      <c r="E11" s="6"/>
      <c r="F11" s="6"/>
      <c r="G11" s="6"/>
      <c r="H11" s="6"/>
      <c r="I11" s="6"/>
      <c r="J11" s="6"/>
      <c r="K11" s="6"/>
      <c r="L11" s="6"/>
      <c r="M11" s="6"/>
      <c r="N11" s="6"/>
    </row>
    <row r="12" spans="1:14" x14ac:dyDescent="0.25">
      <c r="A12" s="6"/>
      <c r="B12" s="6"/>
      <c r="C12" s="6"/>
      <c r="D12" s="6"/>
      <c r="E12" s="6"/>
      <c r="F12" s="6"/>
      <c r="G12" s="6"/>
      <c r="H12" s="6"/>
      <c r="I12" s="6"/>
      <c r="J12" s="6"/>
      <c r="K12" s="6"/>
      <c r="L12" s="6"/>
      <c r="M12" s="6"/>
      <c r="N12" s="6"/>
    </row>
    <row r="13" spans="1:14" x14ac:dyDescent="0.25">
      <c r="A13" s="6"/>
      <c r="B13" s="6"/>
      <c r="C13" s="6"/>
      <c r="D13" s="6"/>
      <c r="E13" s="6"/>
      <c r="F13" s="6"/>
      <c r="G13" s="6"/>
      <c r="H13" s="6"/>
      <c r="I13" s="6"/>
      <c r="J13" s="6"/>
      <c r="K13" s="6"/>
      <c r="L13" s="6"/>
      <c r="M13" s="6"/>
      <c r="N13" s="6"/>
    </row>
    <row r="14" spans="1:14" x14ac:dyDescent="0.25">
      <c r="A14" s="6"/>
      <c r="B14" s="6"/>
      <c r="C14" s="6"/>
      <c r="D14" s="6"/>
      <c r="E14" s="6"/>
      <c r="F14" s="6"/>
      <c r="G14" s="6"/>
      <c r="H14" s="6"/>
      <c r="I14" s="6"/>
      <c r="J14" s="6"/>
      <c r="K14" s="6"/>
      <c r="L14" s="6"/>
      <c r="M14" s="6"/>
      <c r="N14" s="6"/>
    </row>
    <row r="15" spans="1:14" x14ac:dyDescent="0.25">
      <c r="A15" s="6"/>
      <c r="B15" s="6"/>
      <c r="C15" s="6"/>
      <c r="D15" s="6"/>
      <c r="E15" s="6"/>
      <c r="F15" s="6"/>
      <c r="G15" s="6"/>
      <c r="H15" s="6"/>
      <c r="I15" s="6"/>
      <c r="J15" s="6"/>
      <c r="K15" s="6"/>
      <c r="L15" s="6"/>
      <c r="M15" s="6"/>
      <c r="N15" s="6"/>
    </row>
    <row r="16" spans="1:14" x14ac:dyDescent="0.25">
      <c r="A16" s="6"/>
      <c r="B16" s="6"/>
      <c r="C16" s="6"/>
      <c r="D16" s="6"/>
      <c r="E16" s="6"/>
      <c r="F16" s="6"/>
      <c r="G16" s="6"/>
      <c r="H16" s="6"/>
      <c r="I16" s="6"/>
      <c r="J16" s="6"/>
      <c r="K16" s="6"/>
      <c r="L16" s="6"/>
      <c r="M16" s="6"/>
      <c r="N16" s="6"/>
    </row>
    <row r="17" spans="1:14" x14ac:dyDescent="0.25">
      <c r="A17" s="6"/>
      <c r="B17" s="6"/>
      <c r="C17" s="6"/>
      <c r="D17" s="6"/>
      <c r="E17" s="6"/>
      <c r="F17" s="6"/>
      <c r="G17" s="6"/>
      <c r="H17" s="6"/>
      <c r="I17" s="6"/>
      <c r="J17" s="6"/>
      <c r="K17" s="6"/>
      <c r="L17" s="6"/>
      <c r="M17" s="6"/>
      <c r="N17" s="6"/>
    </row>
    <row r="18" spans="1:14" x14ac:dyDescent="0.25">
      <c r="A18" s="6"/>
      <c r="B18" s="6"/>
      <c r="C18" s="6"/>
      <c r="D18" s="6"/>
      <c r="E18" s="6"/>
      <c r="F18" s="6"/>
      <c r="G18" s="6"/>
      <c r="H18" s="6"/>
      <c r="I18" s="6"/>
      <c r="J18" s="6"/>
      <c r="K18" s="6"/>
      <c r="L18" s="6"/>
      <c r="M18" s="6"/>
      <c r="N18" s="6"/>
    </row>
    <row r="19" spans="1:14" x14ac:dyDescent="0.25">
      <c r="A19" s="6"/>
      <c r="B19" s="6"/>
      <c r="C19" s="6"/>
      <c r="D19" s="6"/>
      <c r="E19" s="6"/>
      <c r="F19" s="6"/>
      <c r="G19" s="6"/>
      <c r="H19" s="6"/>
      <c r="I19" s="6"/>
      <c r="J19" s="6"/>
      <c r="K19" s="6"/>
      <c r="L19" s="6"/>
      <c r="M19" s="6"/>
      <c r="N19" s="6"/>
    </row>
    <row r="20" spans="1:14" x14ac:dyDescent="0.25">
      <c r="A20" s="6"/>
      <c r="B20" s="6"/>
      <c r="C20" s="6"/>
      <c r="D20" s="6"/>
      <c r="E20" s="6"/>
      <c r="F20" s="6"/>
      <c r="G20" s="6"/>
      <c r="H20" s="6"/>
      <c r="I20" s="6"/>
      <c r="J20" s="6"/>
      <c r="K20" s="6"/>
      <c r="L20" s="6"/>
      <c r="M20" s="6"/>
      <c r="N20" s="6"/>
    </row>
    <row r="21" spans="1:14" x14ac:dyDescent="0.25">
      <c r="A21" s="6"/>
      <c r="B21" s="6"/>
      <c r="C21" s="6"/>
      <c r="D21" s="6"/>
      <c r="E21" s="6"/>
      <c r="F21" s="6"/>
      <c r="G21" s="6"/>
      <c r="H21" s="6"/>
      <c r="I21" s="6"/>
      <c r="J21" s="6"/>
      <c r="K21" s="6"/>
      <c r="L21" s="6"/>
      <c r="M21" s="6"/>
      <c r="N21"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A988-3783-422E-AE4C-3C8EBBBACD5C}">
  <dimension ref="A1:N21"/>
  <sheetViews>
    <sheetView workbookViewId="0"/>
  </sheetViews>
  <sheetFormatPr defaultRowHeight="15" x14ac:dyDescent="0.25"/>
  <sheetData>
    <row r="1" spans="1:14" x14ac:dyDescent="0.25">
      <c r="A1" s="6"/>
      <c r="B1" s="6"/>
      <c r="C1" s="6"/>
      <c r="D1" s="6"/>
      <c r="E1" s="6"/>
      <c r="F1" s="6"/>
      <c r="G1" s="6"/>
      <c r="H1" s="6"/>
      <c r="I1" s="6"/>
      <c r="J1" s="6"/>
      <c r="K1" s="6"/>
      <c r="L1" s="6"/>
      <c r="M1" s="6"/>
      <c r="N1" s="6"/>
    </row>
    <row r="2" spans="1:14"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6"/>
      <c r="C5" s="6"/>
      <c r="D5" s="6"/>
      <c r="E5" s="6"/>
      <c r="F5" s="6"/>
      <c r="G5" s="6"/>
      <c r="H5" s="6"/>
      <c r="I5" s="6"/>
      <c r="J5" s="6"/>
      <c r="K5" s="6"/>
      <c r="L5" s="6"/>
      <c r="M5" s="6"/>
      <c r="N5" s="6"/>
    </row>
    <row r="6" spans="1:14" x14ac:dyDescent="0.25">
      <c r="A6" s="6"/>
      <c r="B6" s="6"/>
      <c r="C6" s="6"/>
      <c r="D6" s="6"/>
      <c r="E6" s="6"/>
      <c r="F6" s="6"/>
      <c r="G6" s="6"/>
      <c r="H6" s="6"/>
      <c r="I6" s="6"/>
      <c r="J6" s="6"/>
      <c r="K6" s="6"/>
      <c r="L6" s="6"/>
      <c r="M6" s="6"/>
      <c r="N6" s="6"/>
    </row>
    <row r="7" spans="1:14" x14ac:dyDescent="0.25">
      <c r="A7" s="6"/>
      <c r="B7" s="6"/>
      <c r="C7" s="6"/>
      <c r="D7" s="6"/>
      <c r="E7" s="6"/>
      <c r="F7" s="6"/>
      <c r="G7" s="6"/>
      <c r="H7" s="6"/>
      <c r="I7" s="6"/>
      <c r="J7" s="6"/>
      <c r="K7" s="6"/>
      <c r="L7" s="6"/>
      <c r="M7" s="6"/>
      <c r="N7" s="6"/>
    </row>
    <row r="8" spans="1:14" x14ac:dyDescent="0.25">
      <c r="A8" s="6"/>
      <c r="B8" s="6"/>
      <c r="C8" s="6"/>
      <c r="D8" s="6"/>
      <c r="E8" s="6"/>
      <c r="F8" s="6"/>
      <c r="G8" s="6"/>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6"/>
      <c r="C10" s="6"/>
      <c r="D10" s="6"/>
      <c r="E10" s="6"/>
      <c r="F10" s="6"/>
      <c r="G10" s="6"/>
      <c r="H10" s="6"/>
      <c r="I10" s="6"/>
      <c r="J10" s="6"/>
      <c r="K10" s="6"/>
      <c r="L10" s="6"/>
      <c r="M10" s="6"/>
      <c r="N10" s="6"/>
    </row>
    <row r="11" spans="1:14" x14ac:dyDescent="0.25">
      <c r="A11" s="6"/>
      <c r="B11" s="6"/>
      <c r="C11" s="6"/>
      <c r="D11" s="6"/>
      <c r="E11" s="6"/>
      <c r="F11" s="6"/>
      <c r="G11" s="6"/>
      <c r="H11" s="6"/>
      <c r="I11" s="6"/>
      <c r="J11" s="6"/>
      <c r="K11" s="6"/>
      <c r="L11" s="6"/>
      <c r="M11" s="6"/>
      <c r="N11" s="6"/>
    </row>
    <row r="12" spans="1:14" x14ac:dyDescent="0.25">
      <c r="A12" s="6"/>
      <c r="B12" s="6"/>
      <c r="C12" s="6"/>
      <c r="D12" s="6"/>
      <c r="E12" s="6"/>
      <c r="F12" s="6"/>
      <c r="G12" s="6"/>
      <c r="H12" s="6"/>
      <c r="I12" s="6"/>
      <c r="J12" s="6"/>
      <c r="K12" s="6"/>
      <c r="L12" s="6"/>
      <c r="M12" s="6"/>
      <c r="N12" s="6"/>
    </row>
    <row r="13" spans="1:14" x14ac:dyDescent="0.25">
      <c r="A13" s="6"/>
      <c r="B13" s="6"/>
      <c r="C13" s="6"/>
      <c r="D13" s="6"/>
      <c r="E13" s="6"/>
      <c r="F13" s="6"/>
      <c r="G13" s="6"/>
      <c r="H13" s="6"/>
      <c r="I13" s="6"/>
      <c r="J13" s="6"/>
      <c r="K13" s="6"/>
      <c r="L13" s="6"/>
      <c r="M13" s="6"/>
      <c r="N13" s="6"/>
    </row>
    <row r="14" spans="1:14" x14ac:dyDescent="0.25">
      <c r="A14" s="6"/>
      <c r="B14" s="6"/>
      <c r="C14" s="6"/>
      <c r="D14" s="6"/>
      <c r="E14" s="6"/>
      <c r="F14" s="6"/>
      <c r="G14" s="6"/>
      <c r="H14" s="6"/>
      <c r="I14" s="6"/>
      <c r="J14" s="6"/>
      <c r="K14" s="6"/>
      <c r="L14" s="6"/>
      <c r="M14" s="6"/>
      <c r="N14" s="6"/>
    </row>
    <row r="15" spans="1:14" x14ac:dyDescent="0.25">
      <c r="A15" s="6"/>
      <c r="B15" s="6"/>
      <c r="C15" s="6"/>
      <c r="D15" s="6"/>
      <c r="E15" s="6"/>
      <c r="F15" s="6"/>
      <c r="G15" s="6"/>
      <c r="H15" s="6"/>
      <c r="I15" s="6"/>
      <c r="J15" s="6"/>
      <c r="K15" s="6"/>
      <c r="L15" s="6"/>
      <c r="M15" s="6"/>
      <c r="N15" s="6"/>
    </row>
    <row r="16" spans="1:14" x14ac:dyDescent="0.25">
      <c r="A16" s="6"/>
      <c r="B16" s="6"/>
      <c r="C16" s="6"/>
      <c r="D16" s="6"/>
      <c r="E16" s="6"/>
      <c r="F16" s="6"/>
      <c r="G16" s="6"/>
      <c r="H16" s="6"/>
      <c r="I16" s="6"/>
      <c r="J16" s="6"/>
      <c r="K16" s="6"/>
      <c r="L16" s="6"/>
      <c r="M16" s="6"/>
      <c r="N16" s="6"/>
    </row>
    <row r="17" spans="1:14" x14ac:dyDescent="0.25">
      <c r="A17" s="6"/>
      <c r="B17" s="6"/>
      <c r="C17" s="6"/>
      <c r="D17" s="6"/>
      <c r="E17" s="6"/>
      <c r="F17" s="6"/>
      <c r="G17" s="6"/>
      <c r="H17" s="6"/>
      <c r="I17" s="6"/>
      <c r="J17" s="6"/>
      <c r="K17" s="6"/>
      <c r="L17" s="6"/>
      <c r="M17" s="6"/>
      <c r="N17" s="6"/>
    </row>
    <row r="18" spans="1:14" x14ac:dyDescent="0.25">
      <c r="A18" s="6"/>
      <c r="B18" s="6"/>
      <c r="C18" s="6"/>
      <c r="D18" s="6"/>
      <c r="E18" s="6"/>
      <c r="F18" s="6"/>
      <c r="G18" s="6"/>
      <c r="H18" s="6"/>
      <c r="I18" s="6"/>
      <c r="J18" s="6"/>
      <c r="K18" s="6"/>
      <c r="L18" s="6"/>
      <c r="M18" s="6"/>
      <c r="N18" s="6"/>
    </row>
    <row r="19" spans="1:14" x14ac:dyDescent="0.25">
      <c r="A19" s="6"/>
      <c r="B19" s="6"/>
      <c r="C19" s="6"/>
      <c r="D19" s="6"/>
      <c r="E19" s="6"/>
      <c r="F19" s="6"/>
      <c r="G19" s="6"/>
      <c r="H19" s="6"/>
      <c r="I19" s="6"/>
      <c r="J19" s="6"/>
      <c r="K19" s="6"/>
      <c r="L19" s="6"/>
      <c r="M19" s="6"/>
      <c r="N19" s="6"/>
    </row>
    <row r="20" spans="1:14" x14ac:dyDescent="0.25">
      <c r="A20" s="6"/>
      <c r="B20" s="6"/>
      <c r="C20" s="6"/>
      <c r="D20" s="6"/>
      <c r="E20" s="6"/>
      <c r="F20" s="6"/>
      <c r="G20" s="6"/>
      <c r="H20" s="6"/>
      <c r="I20" s="6"/>
      <c r="J20" s="6"/>
      <c r="K20" s="6"/>
      <c r="L20" s="6"/>
      <c r="M20" s="6"/>
      <c r="N20" s="6"/>
    </row>
    <row r="21" spans="1:14" x14ac:dyDescent="0.25">
      <c r="A21" s="6"/>
      <c r="B21" s="6"/>
      <c r="C21" s="6"/>
      <c r="D21" s="6"/>
      <c r="E21" s="6"/>
      <c r="F21" s="6"/>
      <c r="G21" s="6"/>
      <c r="H21" s="6"/>
      <c r="I21" s="6"/>
      <c r="J21" s="6"/>
      <c r="K21" s="6"/>
      <c r="L21" s="6"/>
      <c r="M21" s="6"/>
      <c r="N21"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635FC0F-9DEC-4175-AD51-362302291836}">
  <ds:schemaRefs/>
</ds:datastoreItem>
</file>

<file path=customXml/itemProps2.xml><?xml version="1.0" encoding="utf-8"?>
<ds:datastoreItem xmlns:ds="http://schemas.openxmlformats.org/officeDocument/2006/customXml" ds:itemID="{3E15CAA4-E027-40A3-84AC-7D195D42175A}">
  <ds:schemaRefs/>
</ds:datastoreItem>
</file>

<file path=customXml/itemProps3.xml><?xml version="1.0" encoding="utf-8"?>
<ds:datastoreItem xmlns:ds="http://schemas.openxmlformats.org/officeDocument/2006/customXml" ds:itemID="{E4CCED43-852A-4F69-B1B9-0313E3956BAE}">
  <ds:schemaRefs/>
</ds:datastoreItem>
</file>

<file path=customXml/itemProps4.xml><?xml version="1.0" encoding="utf-8"?>
<ds:datastoreItem xmlns:ds="http://schemas.openxmlformats.org/officeDocument/2006/customXml" ds:itemID="{7AD2D57F-DDA2-4CC2-B8C3-1479A4966E4E}">
  <ds:schemaRefs/>
</ds:datastoreItem>
</file>

<file path=customXml/itemProps5.xml><?xml version="1.0" encoding="utf-8"?>
<ds:datastoreItem xmlns:ds="http://schemas.openxmlformats.org/officeDocument/2006/customXml" ds:itemID="{F0B5F724-986C-4E3F-A5C4-9EE54FD5767B}">
  <ds:schemaRefs/>
</ds:datastoreItem>
</file>

<file path=customXml/itemProps6.xml><?xml version="1.0" encoding="utf-8"?>
<ds:datastoreItem xmlns:ds="http://schemas.openxmlformats.org/officeDocument/2006/customXml" ds:itemID="{61FAFEE9-86F6-4B7F-8814-ABDE0535B238}">
  <ds:schemaRefs/>
</ds:datastoreItem>
</file>

<file path=customXml/itemProps7.xml><?xml version="1.0" encoding="utf-8"?>
<ds:datastoreItem xmlns:ds="http://schemas.openxmlformats.org/officeDocument/2006/customXml" ds:itemID="{74570878-412D-469F-B547-158DE88C68A8}">
  <ds:schemaRefs/>
</ds:datastoreItem>
</file>

<file path=customXml/itemProps8.xml><?xml version="1.0" encoding="utf-8"?>
<ds:datastoreItem xmlns:ds="http://schemas.openxmlformats.org/officeDocument/2006/customXml" ds:itemID="{29789B4D-0913-4CD2-AC26-7BA907F23027}">
  <ds:schemaRefs/>
</ds:datastoreItem>
</file>

<file path=customXml/itemProps9.xml><?xml version="1.0" encoding="utf-8"?>
<ds:datastoreItem xmlns:ds="http://schemas.openxmlformats.org/officeDocument/2006/customXml" ds:itemID="{DA384EC9-5FA0-49B0-B125-E2BD50A03592}">
  <ds:schemaRefs/>
</ds:datastoreItem>
</file>

<file path=customXml/itemProps10.xml><?xml version="1.0" encoding="utf-8"?>
<ds:datastoreItem xmlns:ds="http://schemas.openxmlformats.org/officeDocument/2006/customXml" ds:itemID="{0BBEB004-B45E-494A-B9D9-A5F9513A6DA0}">
  <ds:schemaRefs/>
</ds:datastoreItem>
</file>

<file path=customXml/itemProps11.xml><?xml version="1.0" encoding="utf-8"?>
<ds:datastoreItem xmlns:ds="http://schemas.openxmlformats.org/officeDocument/2006/customXml" ds:itemID="{FF58B321-8563-43D3-AE73-4485A7F4E911}">
  <ds:schemaRefs/>
</ds:datastoreItem>
</file>

<file path=customXml/itemProps12.xml><?xml version="1.0" encoding="utf-8"?>
<ds:datastoreItem xmlns:ds="http://schemas.openxmlformats.org/officeDocument/2006/customXml" ds:itemID="{CE965223-7974-4CB9-928A-643243D13937}">
  <ds:schemaRefs/>
</ds:datastoreItem>
</file>

<file path=customXml/itemProps13.xml><?xml version="1.0" encoding="utf-8"?>
<ds:datastoreItem xmlns:ds="http://schemas.openxmlformats.org/officeDocument/2006/customXml" ds:itemID="{B5248304-1EE3-4252-AA8C-60FD16DC7F37}">
  <ds:schemaRefs/>
</ds:datastoreItem>
</file>

<file path=customXml/itemProps14.xml><?xml version="1.0" encoding="utf-8"?>
<ds:datastoreItem xmlns:ds="http://schemas.openxmlformats.org/officeDocument/2006/customXml" ds:itemID="{DDC4158B-DD59-4BE5-A33C-9FA667A3E87F}">
  <ds:schemaRefs/>
</ds:datastoreItem>
</file>

<file path=customXml/itemProps15.xml><?xml version="1.0" encoding="utf-8"?>
<ds:datastoreItem xmlns:ds="http://schemas.openxmlformats.org/officeDocument/2006/customXml" ds:itemID="{CDE198B1-3EA5-4E99-889C-41869E6FB2B4}">
  <ds:schemaRefs/>
</ds:datastoreItem>
</file>

<file path=customXml/itemProps16.xml><?xml version="1.0" encoding="utf-8"?>
<ds:datastoreItem xmlns:ds="http://schemas.openxmlformats.org/officeDocument/2006/customXml" ds:itemID="{9B927F87-5012-4D0D-8A7A-7EA56D3FCEFF}">
  <ds:schemaRefs/>
</ds:datastoreItem>
</file>

<file path=customXml/itemProps17.xml><?xml version="1.0" encoding="utf-8"?>
<ds:datastoreItem xmlns:ds="http://schemas.openxmlformats.org/officeDocument/2006/customXml" ds:itemID="{A3440E99-E54A-47C4-A225-F94C984AC3C5}">
  <ds:schemaRefs/>
</ds:datastoreItem>
</file>

<file path=customXml/itemProps18.xml><?xml version="1.0" encoding="utf-8"?>
<ds:datastoreItem xmlns:ds="http://schemas.openxmlformats.org/officeDocument/2006/customXml" ds:itemID="{792BFD93-674A-451C-A851-B301728E56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Tred</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2026-08-11T15:26:08Z</dcterms:created>
  <dcterms:modified xsi:type="dcterms:W3CDTF">2026-08-13T09:08:51Z</dcterms:modified>
</cp:coreProperties>
</file>